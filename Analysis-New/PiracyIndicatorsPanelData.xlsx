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natomolina/Box/Proyectos/piracy-shipping/Analysis-New/"/>
    </mc:Choice>
  </mc:AlternateContent>
  <xr:revisionPtr revIDLastSave="0" documentId="13_ncr:1_{DFE06CCA-CC6A-B641-A0F5-AA49095BA37A}" xr6:coauthVersionLast="47" xr6:coauthVersionMax="47" xr10:uidLastSave="{00000000-0000-0000-0000-000000000000}"/>
  <bookViews>
    <workbookView xWindow="7440" yWindow="500" windowWidth="28040" windowHeight="16120" xr2:uid="{5EAA5651-7DE4-2B4A-8A21-11A913CB4E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4" i="1" l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11" i="1"/>
  <c r="D512" i="1"/>
  <c r="D513" i="1"/>
  <c r="D514" i="1"/>
  <c r="D515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2" i="1"/>
  <c r="D463" i="1"/>
  <c r="D464" i="1"/>
  <c r="D465" i="1"/>
  <c r="D437" i="1"/>
  <c r="D438" i="1"/>
  <c r="D439" i="1"/>
  <c r="D440" i="1"/>
  <c r="D441" i="1"/>
  <c r="D442" i="1"/>
  <c r="D443" i="1"/>
  <c r="D444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C461" i="1"/>
  <c r="D461" i="1" s="1"/>
  <c r="C463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5" i="1"/>
  <c r="D86" i="1"/>
  <c r="D87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7" i="1"/>
  <c r="D108" i="1"/>
  <c r="D109" i="1"/>
  <c r="D110" i="1"/>
  <c r="D113" i="1"/>
  <c r="D114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2" i="1"/>
  <c r="D3" i="1"/>
  <c r="D4" i="1"/>
  <c r="D5" i="1"/>
  <c r="D6" i="1"/>
  <c r="D7" i="1"/>
  <c r="D8" i="1"/>
  <c r="D9" i="1"/>
  <c r="D10" i="1"/>
  <c r="D11" i="1"/>
  <c r="D1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C406" i="1"/>
  <c r="D406" i="1" s="1"/>
  <c r="C407" i="1"/>
  <c r="D407" i="1" s="1"/>
  <c r="C320" i="1"/>
  <c r="D320" i="1" s="1"/>
  <c r="C319" i="1"/>
  <c r="D319" i="1" s="1"/>
  <c r="C318" i="1"/>
  <c r="D318" i="1" s="1"/>
  <c r="C317" i="1"/>
  <c r="D317" i="1" s="1"/>
  <c r="C316" i="1"/>
  <c r="D316" i="1" s="1"/>
  <c r="C84" i="1"/>
  <c r="D84" i="1" s="1"/>
  <c r="C88" i="1"/>
  <c r="D88" i="1" s="1"/>
  <c r="C13" i="1"/>
  <c r="D13" i="1" s="1"/>
  <c r="C105" i="1"/>
  <c r="D105" i="1" s="1"/>
  <c r="C115" i="1"/>
  <c r="D115" i="1" s="1"/>
  <c r="C106" i="1"/>
  <c r="D106" i="1" s="1"/>
  <c r="C112" i="1"/>
  <c r="D112" i="1" s="1"/>
  <c r="C111" i="1"/>
  <c r="D111" i="1" s="1"/>
</calcChain>
</file>

<file path=xl/sharedStrings.xml><?xml version="1.0" encoding="utf-8"?>
<sst xmlns="http://schemas.openxmlformats.org/spreadsheetml/2006/main" count="1513" uniqueCount="32">
  <si>
    <t>Country</t>
  </si>
  <si>
    <t>Year</t>
  </si>
  <si>
    <t>Angola</t>
  </si>
  <si>
    <t>Cameroon</t>
  </si>
  <si>
    <t>Equitorial Guinea</t>
  </si>
  <si>
    <t>Gabon</t>
  </si>
  <si>
    <t>São Tomé and Príncipe</t>
  </si>
  <si>
    <t>Republic of Congo</t>
  </si>
  <si>
    <t>Democratic Republic of Congo</t>
  </si>
  <si>
    <t>Nigeria</t>
  </si>
  <si>
    <t>Benin</t>
  </si>
  <si>
    <t>Togo</t>
  </si>
  <si>
    <t>Ghana</t>
  </si>
  <si>
    <t>Ivory coast</t>
  </si>
  <si>
    <t xml:space="preserve">Liberia </t>
  </si>
  <si>
    <t>Somalia</t>
  </si>
  <si>
    <t>Djibouti</t>
  </si>
  <si>
    <t>N/A</t>
  </si>
  <si>
    <t>ICD_TOT</t>
  </si>
  <si>
    <t>ICD_1000</t>
  </si>
  <si>
    <t>Population</t>
  </si>
  <si>
    <t>EF_OS</t>
  </si>
  <si>
    <t>PS</t>
  </si>
  <si>
    <t>U</t>
  </si>
  <si>
    <t>Guinea</t>
  </si>
  <si>
    <t>Aden</t>
  </si>
  <si>
    <t>Yemen</t>
  </si>
  <si>
    <t>Oman</t>
  </si>
  <si>
    <t>Eritrea</t>
  </si>
  <si>
    <t>Tanzania</t>
  </si>
  <si>
    <t>Kenya</t>
  </si>
  <si>
    <t>Gulf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</si>
</sst>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EAB2-A6E2-A742-83B1-D0364BA6F9C1}">
  <dimension ref="A1:I581"/>
  <sheetViews>
    <sheetView tabSelected="1" topLeftCell="A517" workbookViewId="0">
      <selection activeCell="I18" sqref="I18"/>
    </sheetView>
  </sheetViews>
  <sheetFormatPr baseColWidth="10" defaultRowHeight="16" x14ac:dyDescent="0.2"/>
  <cols>
    <col min="1" max="1" width="26" bestFit="1" customWidth="1"/>
  </cols>
  <sheetData>
    <row r="1" spans="1:9" x14ac:dyDescent="0.2">
      <c r="A1" t="s">
        <v>0</v>
      </c>
      <c r="B1" t="s">
        <v>1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31</v>
      </c>
    </row>
    <row r="2" spans="1:9" x14ac:dyDescent="0.2">
      <c r="A2" t="s">
        <v>2</v>
      </c>
      <c r="B2">
        <v>1991</v>
      </c>
      <c r="C2">
        <v>516</v>
      </c>
      <c r="D2">
        <f t="shared" ref="D2:D60" si="0">(C2/E2)*1000</f>
        <v>4.2126228304073969E-2</v>
      </c>
      <c r="E2">
        <v>12248901</v>
      </c>
      <c r="F2" t="s">
        <v>17</v>
      </c>
      <c r="G2" t="s">
        <v>17</v>
      </c>
      <c r="H2">
        <v>3.75</v>
      </c>
      <c r="I2" t="s">
        <v>24</v>
      </c>
    </row>
    <row r="3" spans="1:9" x14ac:dyDescent="0.2">
      <c r="A3" t="s">
        <v>2</v>
      </c>
      <c r="B3">
        <v>1992</v>
      </c>
      <c r="C3">
        <v>2346</v>
      </c>
      <c r="D3">
        <f t="shared" si="0"/>
        <v>0.18534661950993594</v>
      </c>
      <c r="E3">
        <v>12657366</v>
      </c>
      <c r="F3" t="s">
        <v>17</v>
      </c>
      <c r="G3" t="s">
        <v>17</v>
      </c>
      <c r="H3">
        <v>3.7799999713897701</v>
      </c>
      <c r="I3" t="s">
        <v>24</v>
      </c>
    </row>
    <row r="4" spans="1:9" x14ac:dyDescent="0.2">
      <c r="A4" t="s">
        <v>2</v>
      </c>
      <c r="B4">
        <v>1993</v>
      </c>
      <c r="C4">
        <v>12054</v>
      </c>
      <c r="D4">
        <f t="shared" si="0"/>
        <v>0.92190859093529975</v>
      </c>
      <c r="E4">
        <v>13075049</v>
      </c>
      <c r="F4" t="s">
        <v>17</v>
      </c>
      <c r="G4" t="s">
        <v>17</v>
      </c>
      <c r="H4">
        <v>3.8499999046325701</v>
      </c>
      <c r="I4" t="s">
        <v>24</v>
      </c>
    </row>
    <row r="5" spans="1:9" x14ac:dyDescent="0.2">
      <c r="A5" t="s">
        <v>2</v>
      </c>
      <c r="B5">
        <v>1994</v>
      </c>
      <c r="C5">
        <v>3974</v>
      </c>
      <c r="D5">
        <f t="shared" si="0"/>
        <v>0.29428868890982629</v>
      </c>
      <c r="E5">
        <v>13503747</v>
      </c>
      <c r="F5" t="s">
        <v>17</v>
      </c>
      <c r="G5" t="s">
        <v>17</v>
      </c>
      <c r="H5">
        <v>3.8699998855590798</v>
      </c>
      <c r="I5" t="s">
        <v>24</v>
      </c>
    </row>
    <row r="6" spans="1:9" x14ac:dyDescent="0.2">
      <c r="A6" t="s">
        <v>2</v>
      </c>
      <c r="B6">
        <v>1995</v>
      </c>
      <c r="C6">
        <v>187</v>
      </c>
      <c r="D6">
        <f t="shared" si="0"/>
        <v>1.3409626218501182E-2</v>
      </c>
      <c r="E6">
        <v>13945206</v>
      </c>
      <c r="F6">
        <v>27.4</v>
      </c>
      <c r="G6" t="s">
        <v>17</v>
      </c>
      <c r="H6">
        <v>3.8599998950958301</v>
      </c>
      <c r="I6" t="s">
        <v>24</v>
      </c>
    </row>
    <row r="7" spans="1:9" x14ac:dyDescent="0.2">
      <c r="A7" t="s">
        <v>2</v>
      </c>
      <c r="B7">
        <v>1996</v>
      </c>
      <c r="C7">
        <v>29</v>
      </c>
      <c r="D7">
        <f t="shared" si="0"/>
        <v>2.0137883393183354E-3</v>
      </c>
      <c r="E7">
        <v>14400719</v>
      </c>
      <c r="F7">
        <v>24.4</v>
      </c>
      <c r="G7" s="2">
        <v>-2.057286262512207</v>
      </c>
      <c r="H7">
        <v>3.8599998950958301</v>
      </c>
      <c r="I7" t="s">
        <v>24</v>
      </c>
    </row>
    <row r="8" spans="1:9" x14ac:dyDescent="0.2">
      <c r="A8" t="s">
        <v>2</v>
      </c>
      <c r="B8">
        <v>1997</v>
      </c>
      <c r="C8">
        <v>51</v>
      </c>
      <c r="D8">
        <f t="shared" si="0"/>
        <v>3.4293621991491148E-3</v>
      </c>
      <c r="E8">
        <v>14871570</v>
      </c>
      <c r="F8">
        <v>24.2</v>
      </c>
      <c r="G8" t="s">
        <v>17</v>
      </c>
      <c r="H8">
        <v>3.8599998950958301</v>
      </c>
      <c r="I8" t="s">
        <v>24</v>
      </c>
    </row>
    <row r="9" spans="1:9" x14ac:dyDescent="0.2">
      <c r="A9" t="s">
        <v>2</v>
      </c>
      <c r="B9">
        <v>1998</v>
      </c>
      <c r="C9">
        <v>1066</v>
      </c>
      <c r="D9">
        <f t="shared" si="0"/>
        <v>6.9402844513994866E-2</v>
      </c>
      <c r="E9">
        <v>15359601</v>
      </c>
      <c r="F9">
        <v>24.9</v>
      </c>
      <c r="G9" s="2">
        <v>-2.3130722045898438</v>
      </c>
      <c r="H9">
        <v>3.8599998950958301</v>
      </c>
      <c r="I9" t="s">
        <v>24</v>
      </c>
    </row>
    <row r="10" spans="1:9" x14ac:dyDescent="0.2">
      <c r="A10" t="s">
        <v>2</v>
      </c>
      <c r="B10">
        <v>1999</v>
      </c>
      <c r="C10">
        <v>2273</v>
      </c>
      <c r="D10">
        <f t="shared" si="0"/>
        <v>0.14325447572548813</v>
      </c>
      <c r="E10">
        <v>15866869</v>
      </c>
      <c r="F10">
        <v>23.7</v>
      </c>
      <c r="G10" t="s">
        <v>17</v>
      </c>
      <c r="H10">
        <v>3.8800001144409202</v>
      </c>
      <c r="I10" t="s">
        <v>24</v>
      </c>
    </row>
    <row r="11" spans="1:9" x14ac:dyDescent="0.2">
      <c r="A11" t="s">
        <v>2</v>
      </c>
      <c r="B11">
        <v>2000</v>
      </c>
      <c r="C11">
        <v>1000</v>
      </c>
      <c r="D11">
        <f t="shared" si="0"/>
        <v>6.0992445902597621E-2</v>
      </c>
      <c r="E11">
        <v>16395473</v>
      </c>
      <c r="F11">
        <v>24.3</v>
      </c>
      <c r="G11" s="2">
        <v>-2.0355825424194336</v>
      </c>
      <c r="H11">
        <v>3.8699998855590798</v>
      </c>
      <c r="I11" t="s">
        <v>24</v>
      </c>
    </row>
    <row r="12" spans="1:9" x14ac:dyDescent="0.2">
      <c r="A12" t="s">
        <v>2</v>
      </c>
      <c r="B12">
        <v>2001</v>
      </c>
      <c r="C12">
        <v>1123</v>
      </c>
      <c r="D12">
        <f t="shared" si="0"/>
        <v>6.6270292031283595E-2</v>
      </c>
      <c r="E12">
        <v>16945753</v>
      </c>
      <c r="F12" t="s">
        <v>17</v>
      </c>
      <c r="G12" t="s">
        <v>17</v>
      </c>
      <c r="H12">
        <v>3.8499999046325701</v>
      </c>
      <c r="I12" t="s">
        <v>24</v>
      </c>
    </row>
    <row r="13" spans="1:9" x14ac:dyDescent="0.2">
      <c r="A13" t="s">
        <v>2</v>
      </c>
      <c r="B13">
        <v>2002</v>
      </c>
      <c r="C13">
        <f>56+470</f>
        <v>526</v>
      </c>
      <c r="D13">
        <f t="shared" si="0"/>
        <v>3.0023830130877071E-2</v>
      </c>
      <c r="E13">
        <v>17519417</v>
      </c>
      <c r="F13" t="s">
        <v>17</v>
      </c>
      <c r="G13" s="1">
        <v>-1.5770463943481445</v>
      </c>
      <c r="H13">
        <v>3.8800001144409202</v>
      </c>
      <c r="I13" t="s">
        <v>24</v>
      </c>
    </row>
    <row r="14" spans="1:9" x14ac:dyDescent="0.2">
      <c r="A14" t="s">
        <v>2</v>
      </c>
      <c r="B14">
        <v>2003</v>
      </c>
      <c r="C14">
        <v>25</v>
      </c>
      <c r="D14">
        <f t="shared" si="0"/>
        <v>1.3795783445711026E-3</v>
      </c>
      <c r="E14">
        <v>18121479</v>
      </c>
      <c r="F14" t="s">
        <v>17</v>
      </c>
      <c r="G14" s="1">
        <v>-1.0065377950668335</v>
      </c>
      <c r="H14">
        <v>3.8800001144409202</v>
      </c>
      <c r="I14" t="s">
        <v>24</v>
      </c>
    </row>
    <row r="15" spans="1:9" x14ac:dyDescent="0.2">
      <c r="A15" t="s">
        <v>2</v>
      </c>
      <c r="B15">
        <v>2004</v>
      </c>
      <c r="C15">
        <v>25</v>
      </c>
      <c r="D15">
        <f t="shared" si="0"/>
        <v>1.332754384828564E-3</v>
      </c>
      <c r="E15">
        <v>18758145</v>
      </c>
      <c r="F15" t="s">
        <v>17</v>
      </c>
      <c r="G15" s="1">
        <v>-1.0627975463867188</v>
      </c>
      <c r="H15">
        <v>3.8499999046325701</v>
      </c>
      <c r="I15" t="s">
        <v>24</v>
      </c>
    </row>
    <row r="16" spans="1:9" x14ac:dyDescent="0.2">
      <c r="A16" t="s">
        <v>2</v>
      </c>
      <c r="B16">
        <v>2005</v>
      </c>
      <c r="C16">
        <v>0</v>
      </c>
      <c r="D16">
        <f t="shared" si="0"/>
        <v>0</v>
      </c>
      <c r="E16">
        <v>19433602</v>
      </c>
      <c r="F16" t="s">
        <v>17</v>
      </c>
      <c r="G16" s="1">
        <v>-0.88754391670227051</v>
      </c>
      <c r="H16">
        <v>3.8099999427795401</v>
      </c>
      <c r="I16" t="s">
        <v>24</v>
      </c>
    </row>
    <row r="17" spans="1:9" x14ac:dyDescent="0.2">
      <c r="A17" t="s">
        <v>2</v>
      </c>
      <c r="B17">
        <v>2006</v>
      </c>
      <c r="C17">
        <v>0</v>
      </c>
      <c r="D17">
        <f t="shared" si="0"/>
        <v>0</v>
      </c>
      <c r="E17">
        <v>20149901</v>
      </c>
      <c r="F17">
        <v>43.5</v>
      </c>
      <c r="G17" s="1">
        <v>-0.54198598861694336</v>
      </c>
      <c r="H17">
        <v>3.7300000190734899</v>
      </c>
      <c r="I17" t="s">
        <v>24</v>
      </c>
    </row>
    <row r="18" spans="1:9" x14ac:dyDescent="0.2">
      <c r="A18" t="s">
        <v>2</v>
      </c>
      <c r="B18">
        <v>2007</v>
      </c>
      <c r="C18">
        <v>25</v>
      </c>
      <c r="D18">
        <f t="shared" si="0"/>
        <v>1.1958653863125936E-3</v>
      </c>
      <c r="E18">
        <v>20905363</v>
      </c>
      <c r="F18">
        <v>44.7</v>
      </c>
      <c r="G18" s="1">
        <v>-0.66603219509124756</v>
      </c>
      <c r="H18">
        <v>3.6600000858306898</v>
      </c>
      <c r="I18" t="s">
        <v>24</v>
      </c>
    </row>
    <row r="19" spans="1:9" x14ac:dyDescent="0.2">
      <c r="A19" t="s">
        <v>2</v>
      </c>
      <c r="B19">
        <v>2008</v>
      </c>
      <c r="C19">
        <v>0</v>
      </c>
      <c r="D19">
        <f t="shared" si="0"/>
        <v>0</v>
      </c>
      <c r="E19">
        <v>21695634</v>
      </c>
      <c r="F19">
        <v>46.9</v>
      </c>
      <c r="G19" s="1">
        <v>-0.36291149258613586</v>
      </c>
      <c r="H19">
        <v>3.6300001144409202</v>
      </c>
      <c r="I19" t="s">
        <v>24</v>
      </c>
    </row>
    <row r="20" spans="1:9" x14ac:dyDescent="0.2">
      <c r="A20" t="s">
        <v>2</v>
      </c>
      <c r="B20">
        <v>2009</v>
      </c>
      <c r="C20">
        <v>25</v>
      </c>
      <c r="D20">
        <f t="shared" si="0"/>
        <v>1.1104063238794968E-3</v>
      </c>
      <c r="E20">
        <v>22514281</v>
      </c>
      <c r="F20">
        <v>47</v>
      </c>
      <c r="G20" s="1">
        <v>-0.34726244211196899</v>
      </c>
      <c r="H20">
        <v>3.7799999713897701</v>
      </c>
      <c r="I20" t="s">
        <v>24</v>
      </c>
    </row>
    <row r="21" spans="1:9" x14ac:dyDescent="0.2">
      <c r="A21" t="s">
        <v>2</v>
      </c>
      <c r="B21">
        <v>2010</v>
      </c>
      <c r="C21">
        <v>0</v>
      </c>
      <c r="D21">
        <f t="shared" si="0"/>
        <v>0</v>
      </c>
      <c r="E21">
        <v>23356246</v>
      </c>
      <c r="F21">
        <v>48.4</v>
      </c>
      <c r="G21" s="1">
        <v>-0.22618234157562256</v>
      </c>
      <c r="H21">
        <v>9.4300003051757795</v>
      </c>
      <c r="I21" t="s">
        <v>24</v>
      </c>
    </row>
    <row r="22" spans="1:9" x14ac:dyDescent="0.2">
      <c r="A22" t="s">
        <v>2</v>
      </c>
      <c r="B22">
        <v>2011</v>
      </c>
      <c r="C22">
        <v>0</v>
      </c>
      <c r="D22">
        <f t="shared" si="0"/>
        <v>0</v>
      </c>
      <c r="E22">
        <v>24220661</v>
      </c>
      <c r="F22">
        <v>46.2</v>
      </c>
      <c r="G22" s="1">
        <v>-0.36923781037330627</v>
      </c>
      <c r="H22">
        <v>7.3600001335143999</v>
      </c>
      <c r="I22" t="s">
        <v>24</v>
      </c>
    </row>
    <row r="23" spans="1:9" x14ac:dyDescent="0.2">
      <c r="A23" t="s">
        <v>2</v>
      </c>
      <c r="B23">
        <v>2012</v>
      </c>
      <c r="C23">
        <v>0</v>
      </c>
      <c r="D23">
        <f t="shared" si="0"/>
        <v>0</v>
      </c>
      <c r="E23">
        <v>25107931</v>
      </c>
      <c r="F23">
        <v>46.7</v>
      </c>
      <c r="G23" s="1">
        <v>-0.38932254910469055</v>
      </c>
      <c r="H23">
        <v>7.3699998855590803</v>
      </c>
      <c r="I23" t="s">
        <v>24</v>
      </c>
    </row>
    <row r="24" spans="1:9" x14ac:dyDescent="0.2">
      <c r="A24" t="s">
        <v>2</v>
      </c>
      <c r="B24">
        <v>2013</v>
      </c>
      <c r="C24">
        <v>0</v>
      </c>
      <c r="D24">
        <f t="shared" si="0"/>
        <v>0</v>
      </c>
      <c r="E24">
        <v>26015780</v>
      </c>
      <c r="F24">
        <v>47.3</v>
      </c>
      <c r="G24" s="1">
        <v>-0.39123347401618958</v>
      </c>
      <c r="H24">
        <v>7.3800001144409197</v>
      </c>
      <c r="I24" t="s">
        <v>24</v>
      </c>
    </row>
    <row r="25" spans="1:9" x14ac:dyDescent="0.2">
      <c r="A25" t="s">
        <v>2</v>
      </c>
      <c r="B25">
        <v>2014</v>
      </c>
      <c r="C25">
        <v>0</v>
      </c>
      <c r="D25">
        <f t="shared" si="0"/>
        <v>0</v>
      </c>
      <c r="E25">
        <v>26941779</v>
      </c>
      <c r="F25">
        <v>47.7</v>
      </c>
      <c r="G25" s="1">
        <v>-0.33323204517364502</v>
      </c>
      <c r="H25">
        <v>7.3099999427795401</v>
      </c>
      <c r="I25" t="s">
        <v>24</v>
      </c>
    </row>
    <row r="26" spans="1:9" x14ac:dyDescent="0.2">
      <c r="A26" t="s">
        <v>2</v>
      </c>
      <c r="B26">
        <v>2015</v>
      </c>
      <c r="C26">
        <v>0</v>
      </c>
      <c r="D26">
        <f t="shared" si="0"/>
        <v>0</v>
      </c>
      <c r="E26">
        <v>27884381</v>
      </c>
      <c r="F26">
        <v>47.9</v>
      </c>
      <c r="G26" s="1">
        <v>-0.50089776515960693</v>
      </c>
      <c r="H26">
        <v>7.2600002288818404</v>
      </c>
      <c r="I26" t="s">
        <v>24</v>
      </c>
    </row>
    <row r="27" spans="1:9" x14ac:dyDescent="0.2">
      <c r="A27" t="s">
        <v>2</v>
      </c>
      <c r="B27">
        <v>2016</v>
      </c>
      <c r="C27">
        <v>25</v>
      </c>
      <c r="D27">
        <f t="shared" si="0"/>
        <v>8.6677693918457233E-4</v>
      </c>
      <c r="E27">
        <v>28842484</v>
      </c>
      <c r="F27">
        <v>48.9</v>
      </c>
      <c r="G27" s="1">
        <v>-0.3158988356590271</v>
      </c>
      <c r="H27">
        <v>7.1999998092651403</v>
      </c>
      <c r="I27" t="s">
        <v>24</v>
      </c>
    </row>
    <row r="28" spans="1:9" x14ac:dyDescent="0.2">
      <c r="A28" t="s">
        <v>2</v>
      </c>
      <c r="B28">
        <v>2017</v>
      </c>
      <c r="C28">
        <v>25</v>
      </c>
      <c r="D28">
        <f t="shared" si="0"/>
        <v>8.3845495155943897E-4</v>
      </c>
      <c r="E28">
        <v>29816748</v>
      </c>
      <c r="F28">
        <v>48.5</v>
      </c>
      <c r="G28" s="1">
        <v>-0.33162206411361694</v>
      </c>
      <c r="H28">
        <v>7.0999999046325701</v>
      </c>
      <c r="I28" t="s">
        <v>24</v>
      </c>
    </row>
    <row r="29" spans="1:9" x14ac:dyDescent="0.2">
      <c r="A29" t="s">
        <v>2</v>
      </c>
      <c r="B29">
        <v>2018</v>
      </c>
      <c r="C29">
        <v>0</v>
      </c>
      <c r="D29">
        <f t="shared" si="0"/>
        <v>0</v>
      </c>
      <c r="E29">
        <v>30809762</v>
      </c>
      <c r="F29">
        <v>48.6</v>
      </c>
      <c r="G29" s="1">
        <v>-0.31663072109222412</v>
      </c>
      <c r="H29">
        <v>7</v>
      </c>
      <c r="I29" t="s">
        <v>24</v>
      </c>
    </row>
    <row r="30" spans="1:9" x14ac:dyDescent="0.2">
      <c r="A30" t="s">
        <v>2</v>
      </c>
      <c r="B30">
        <v>2019</v>
      </c>
      <c r="C30">
        <v>25</v>
      </c>
      <c r="D30">
        <f t="shared" si="0"/>
        <v>7.85538672932961E-4</v>
      </c>
      <c r="E30">
        <v>31825295</v>
      </c>
      <c r="F30">
        <v>50.6</v>
      </c>
      <c r="G30" s="1">
        <v>-0.3111005425453186</v>
      </c>
      <c r="H30">
        <v>6.9299998283386204</v>
      </c>
      <c r="I30" t="s">
        <v>24</v>
      </c>
    </row>
    <row r="31" spans="1:9" x14ac:dyDescent="0.2">
      <c r="A31" t="s">
        <v>10</v>
      </c>
      <c r="B31">
        <v>1991</v>
      </c>
      <c r="C31">
        <v>0</v>
      </c>
      <c r="D31">
        <f t="shared" si="0"/>
        <v>0</v>
      </c>
      <c r="E31">
        <v>5149499</v>
      </c>
      <c r="F31" t="s">
        <v>17</v>
      </c>
      <c r="G31" t="s">
        <v>17</v>
      </c>
      <c r="H31">
        <v>1.4800000190734901</v>
      </c>
      <c r="I31" t="s">
        <v>24</v>
      </c>
    </row>
    <row r="32" spans="1:9" x14ac:dyDescent="0.2">
      <c r="A32" t="s">
        <v>10</v>
      </c>
      <c r="B32">
        <v>1992</v>
      </c>
      <c r="C32">
        <v>0</v>
      </c>
      <c r="D32">
        <f t="shared" si="0"/>
        <v>0</v>
      </c>
      <c r="E32">
        <v>5331803</v>
      </c>
      <c r="F32" t="s">
        <v>17</v>
      </c>
      <c r="G32" t="s">
        <v>17</v>
      </c>
      <c r="H32">
        <v>1.5099999904632599</v>
      </c>
      <c r="I32" t="s">
        <v>24</v>
      </c>
    </row>
    <row r="33" spans="1:9" x14ac:dyDescent="0.2">
      <c r="A33" t="s">
        <v>10</v>
      </c>
      <c r="B33">
        <v>1993</v>
      </c>
      <c r="C33">
        <v>0</v>
      </c>
      <c r="D33">
        <f t="shared" si="0"/>
        <v>0</v>
      </c>
      <c r="E33">
        <v>5521763</v>
      </c>
      <c r="F33" t="s">
        <v>17</v>
      </c>
      <c r="G33" t="s">
        <v>17</v>
      </c>
      <c r="H33">
        <v>1.46000003814697</v>
      </c>
      <c r="I33" t="s">
        <v>24</v>
      </c>
    </row>
    <row r="34" spans="1:9" x14ac:dyDescent="0.2">
      <c r="A34" t="s">
        <v>10</v>
      </c>
      <c r="B34">
        <v>1994</v>
      </c>
      <c r="C34">
        <v>0</v>
      </c>
      <c r="D34">
        <f t="shared" si="0"/>
        <v>0</v>
      </c>
      <c r="E34">
        <v>5714220</v>
      </c>
      <c r="F34" t="s">
        <v>17</v>
      </c>
      <c r="G34" t="s">
        <v>17</v>
      </c>
      <c r="H34">
        <v>1.37000000476837</v>
      </c>
      <c r="I34" t="s">
        <v>24</v>
      </c>
    </row>
    <row r="35" spans="1:9" x14ac:dyDescent="0.2">
      <c r="A35" t="s">
        <v>10</v>
      </c>
      <c r="B35">
        <v>1995</v>
      </c>
      <c r="C35">
        <v>0</v>
      </c>
      <c r="D35">
        <f t="shared" si="0"/>
        <v>0</v>
      </c>
      <c r="E35">
        <v>5905558</v>
      </c>
      <c r="F35" t="s">
        <v>17</v>
      </c>
      <c r="G35" t="s">
        <v>17</v>
      </c>
      <c r="H35">
        <v>1.2699999809265099</v>
      </c>
      <c r="I35" t="s">
        <v>24</v>
      </c>
    </row>
    <row r="36" spans="1:9" x14ac:dyDescent="0.2">
      <c r="A36" t="s">
        <v>10</v>
      </c>
      <c r="B36">
        <v>1996</v>
      </c>
      <c r="C36">
        <v>0</v>
      </c>
      <c r="D36">
        <f t="shared" si="0"/>
        <v>0</v>
      </c>
      <c r="E36">
        <v>6094259</v>
      </c>
      <c r="F36">
        <v>54.5</v>
      </c>
      <c r="G36" s="2">
        <v>1.0489296913146973</v>
      </c>
      <c r="H36">
        <v>1.1799999475479099</v>
      </c>
      <c r="I36" t="s">
        <v>24</v>
      </c>
    </row>
    <row r="37" spans="1:9" x14ac:dyDescent="0.2">
      <c r="A37" t="s">
        <v>10</v>
      </c>
      <c r="B37">
        <v>1997</v>
      </c>
      <c r="C37">
        <v>0</v>
      </c>
      <c r="D37">
        <f t="shared" si="0"/>
        <v>0</v>
      </c>
      <c r="E37">
        <v>6281639</v>
      </c>
      <c r="F37">
        <v>61.3</v>
      </c>
      <c r="G37" t="s">
        <v>17</v>
      </c>
      <c r="H37">
        <v>1.08000004291534</v>
      </c>
      <c r="I37" t="s">
        <v>24</v>
      </c>
    </row>
    <row r="38" spans="1:9" x14ac:dyDescent="0.2">
      <c r="A38" t="s">
        <v>10</v>
      </c>
      <c r="B38">
        <v>1998</v>
      </c>
      <c r="C38">
        <v>0</v>
      </c>
      <c r="D38">
        <f t="shared" si="0"/>
        <v>0</v>
      </c>
      <c r="E38">
        <v>6470265</v>
      </c>
      <c r="F38">
        <v>61.7</v>
      </c>
      <c r="G38" s="2">
        <v>0.7413254976272583</v>
      </c>
      <c r="H38">
        <v>1</v>
      </c>
      <c r="I38" t="s">
        <v>24</v>
      </c>
    </row>
    <row r="39" spans="1:9" x14ac:dyDescent="0.2">
      <c r="A39" t="s">
        <v>10</v>
      </c>
      <c r="B39">
        <v>1999</v>
      </c>
      <c r="C39">
        <v>0</v>
      </c>
      <c r="D39">
        <f t="shared" si="0"/>
        <v>0</v>
      </c>
      <c r="E39">
        <v>6664098</v>
      </c>
      <c r="F39">
        <v>60.6</v>
      </c>
      <c r="G39" t="s">
        <v>17</v>
      </c>
      <c r="H39">
        <v>0.92000001668930098</v>
      </c>
      <c r="I39" t="s">
        <v>24</v>
      </c>
    </row>
    <row r="40" spans="1:9" x14ac:dyDescent="0.2">
      <c r="A40" t="s">
        <v>10</v>
      </c>
      <c r="B40">
        <v>2000</v>
      </c>
      <c r="C40">
        <v>0</v>
      </c>
      <c r="D40">
        <f t="shared" si="0"/>
        <v>0</v>
      </c>
      <c r="E40">
        <v>6865951</v>
      </c>
      <c r="F40">
        <v>61.5</v>
      </c>
      <c r="G40" s="2">
        <v>0.79839670658111572</v>
      </c>
      <c r="H40">
        <v>0.83999997377395597</v>
      </c>
      <c r="I40" t="s">
        <v>24</v>
      </c>
    </row>
    <row r="41" spans="1:9" x14ac:dyDescent="0.2">
      <c r="A41" t="s">
        <v>10</v>
      </c>
      <c r="B41">
        <v>2001</v>
      </c>
      <c r="C41">
        <v>0</v>
      </c>
      <c r="D41">
        <f t="shared" si="0"/>
        <v>0</v>
      </c>
      <c r="E41">
        <v>7076733</v>
      </c>
      <c r="F41">
        <v>60.1</v>
      </c>
      <c r="G41" t="s">
        <v>17</v>
      </c>
      <c r="H41">
        <v>0.75</v>
      </c>
      <c r="I41" t="s">
        <v>24</v>
      </c>
    </row>
    <row r="42" spans="1:9" x14ac:dyDescent="0.2">
      <c r="A42" t="s">
        <v>10</v>
      </c>
      <c r="B42">
        <v>2002</v>
      </c>
      <c r="C42">
        <v>0</v>
      </c>
      <c r="D42">
        <f t="shared" si="0"/>
        <v>0</v>
      </c>
      <c r="E42">
        <v>7295394</v>
      </c>
      <c r="F42">
        <v>57.3</v>
      </c>
      <c r="G42" s="1">
        <v>0.82029420137405396</v>
      </c>
      <c r="H42">
        <v>0.68999999761581399</v>
      </c>
      <c r="I42" t="s">
        <v>24</v>
      </c>
    </row>
    <row r="43" spans="1:9" x14ac:dyDescent="0.2">
      <c r="A43" t="s">
        <v>10</v>
      </c>
      <c r="B43">
        <v>2003</v>
      </c>
      <c r="C43">
        <v>0</v>
      </c>
      <c r="D43">
        <f t="shared" si="0"/>
        <v>0</v>
      </c>
      <c r="E43">
        <v>7520555</v>
      </c>
      <c r="F43">
        <v>54.9</v>
      </c>
      <c r="G43" s="1">
        <v>0.67906349897384644</v>
      </c>
      <c r="H43">
        <v>0.730000019073486</v>
      </c>
      <c r="I43" t="s">
        <v>24</v>
      </c>
    </row>
    <row r="44" spans="1:9" x14ac:dyDescent="0.2">
      <c r="A44" t="s">
        <v>10</v>
      </c>
      <c r="B44">
        <v>2004</v>
      </c>
      <c r="C44">
        <v>0</v>
      </c>
      <c r="D44">
        <f t="shared" si="0"/>
        <v>0</v>
      </c>
      <c r="E44">
        <v>7750004</v>
      </c>
      <c r="F44">
        <v>54.6</v>
      </c>
      <c r="G44" s="1">
        <v>0.26510682702064514</v>
      </c>
      <c r="H44">
        <v>0.769999980926514</v>
      </c>
      <c r="I44" t="s">
        <v>24</v>
      </c>
    </row>
    <row r="45" spans="1:9" x14ac:dyDescent="0.2">
      <c r="A45" t="s">
        <v>10</v>
      </c>
      <c r="B45">
        <v>2005</v>
      </c>
      <c r="C45">
        <v>0</v>
      </c>
      <c r="D45">
        <f t="shared" si="0"/>
        <v>0</v>
      </c>
      <c r="E45">
        <v>7982225</v>
      </c>
      <c r="F45">
        <v>52.3</v>
      </c>
      <c r="G45" s="1">
        <v>0.4468158483505249</v>
      </c>
      <c r="H45">
        <v>0.80000001192092896</v>
      </c>
      <c r="I45" t="s">
        <v>24</v>
      </c>
    </row>
    <row r="46" spans="1:9" x14ac:dyDescent="0.2">
      <c r="A46" t="s">
        <v>10</v>
      </c>
      <c r="B46">
        <v>2006</v>
      </c>
      <c r="C46">
        <v>0</v>
      </c>
      <c r="D46">
        <f t="shared" si="0"/>
        <v>0</v>
      </c>
      <c r="E46">
        <v>8216897</v>
      </c>
      <c r="F46">
        <v>54</v>
      </c>
      <c r="G46" s="1">
        <v>0.54701048135757446</v>
      </c>
      <c r="H46">
        <v>0.81000000238418601</v>
      </c>
      <c r="I46" t="s">
        <v>24</v>
      </c>
    </row>
    <row r="47" spans="1:9" x14ac:dyDescent="0.2">
      <c r="A47" t="s">
        <v>10</v>
      </c>
      <c r="B47">
        <v>2007</v>
      </c>
      <c r="C47">
        <v>0</v>
      </c>
      <c r="D47">
        <f t="shared" si="0"/>
        <v>0</v>
      </c>
      <c r="E47">
        <v>8454793</v>
      </c>
      <c r="F47">
        <v>55.1</v>
      </c>
      <c r="G47" s="1">
        <v>0.38612255454063416</v>
      </c>
      <c r="H47">
        <v>0.81999999284744296</v>
      </c>
      <c r="I47" t="s">
        <v>24</v>
      </c>
    </row>
    <row r="48" spans="1:9" x14ac:dyDescent="0.2">
      <c r="A48" t="s">
        <v>10</v>
      </c>
      <c r="B48">
        <v>2008</v>
      </c>
      <c r="C48">
        <v>0</v>
      </c>
      <c r="D48">
        <f t="shared" si="0"/>
        <v>0</v>
      </c>
      <c r="E48">
        <v>8696921</v>
      </c>
      <c r="F48">
        <v>55.2</v>
      </c>
      <c r="G48" s="1">
        <v>0.37459132075309753</v>
      </c>
      <c r="H48">
        <v>0.85000002384185802</v>
      </c>
      <c r="I48" t="s">
        <v>24</v>
      </c>
    </row>
    <row r="49" spans="1:9" x14ac:dyDescent="0.2">
      <c r="A49" t="s">
        <v>10</v>
      </c>
      <c r="B49">
        <v>2009</v>
      </c>
      <c r="C49">
        <v>0</v>
      </c>
      <c r="D49">
        <f t="shared" si="0"/>
        <v>0</v>
      </c>
      <c r="E49">
        <v>8944708</v>
      </c>
      <c r="F49">
        <v>55.4</v>
      </c>
      <c r="G49" s="1">
        <v>0.40329805016517639</v>
      </c>
      <c r="H49">
        <v>0.97000002861022905</v>
      </c>
      <c r="I49" t="s">
        <v>24</v>
      </c>
    </row>
    <row r="50" spans="1:9" x14ac:dyDescent="0.2">
      <c r="A50" t="s">
        <v>10</v>
      </c>
      <c r="B50">
        <v>2010</v>
      </c>
      <c r="C50">
        <v>0</v>
      </c>
      <c r="D50">
        <f t="shared" si="0"/>
        <v>0</v>
      </c>
      <c r="E50">
        <v>9199259</v>
      </c>
      <c r="F50">
        <v>55.4</v>
      </c>
      <c r="G50" s="1">
        <v>0.26126012206077576</v>
      </c>
      <c r="H50">
        <v>1.03999996185303</v>
      </c>
      <c r="I50" t="s">
        <v>24</v>
      </c>
    </row>
    <row r="51" spans="1:9" x14ac:dyDescent="0.2">
      <c r="A51" t="s">
        <v>10</v>
      </c>
      <c r="B51">
        <v>2011</v>
      </c>
      <c r="C51">
        <v>0</v>
      </c>
      <c r="D51">
        <f t="shared" si="0"/>
        <v>0</v>
      </c>
      <c r="E51">
        <v>9460830</v>
      </c>
      <c r="F51">
        <v>56</v>
      </c>
      <c r="G51" s="1">
        <v>0.31835636496543884</v>
      </c>
      <c r="H51">
        <v>2.6500000953674299</v>
      </c>
      <c r="I51" t="s">
        <v>24</v>
      </c>
    </row>
    <row r="52" spans="1:9" x14ac:dyDescent="0.2">
      <c r="A52" t="s">
        <v>10</v>
      </c>
      <c r="B52">
        <v>2012</v>
      </c>
      <c r="C52">
        <v>0</v>
      </c>
      <c r="D52">
        <f t="shared" si="0"/>
        <v>0</v>
      </c>
      <c r="E52">
        <v>9729248</v>
      </c>
      <c r="F52">
        <v>55.7</v>
      </c>
      <c r="G52" s="1">
        <v>0.36436760425567627</v>
      </c>
      <c r="H52">
        <v>2.6500000953674299</v>
      </c>
      <c r="I52" t="s">
        <v>24</v>
      </c>
    </row>
    <row r="53" spans="1:9" x14ac:dyDescent="0.2">
      <c r="A53" t="s">
        <v>10</v>
      </c>
      <c r="B53">
        <v>2013</v>
      </c>
      <c r="C53">
        <v>0</v>
      </c>
      <c r="D53">
        <f t="shared" si="0"/>
        <v>0</v>
      </c>
      <c r="E53">
        <v>10004588</v>
      </c>
      <c r="F53">
        <v>57.6</v>
      </c>
      <c r="G53" s="1">
        <v>0.3011893630027771</v>
      </c>
      <c r="H53">
        <v>2.6600000858306898</v>
      </c>
      <c r="I53" t="s">
        <v>24</v>
      </c>
    </row>
    <row r="54" spans="1:9" x14ac:dyDescent="0.2">
      <c r="A54" t="s">
        <v>10</v>
      </c>
      <c r="B54">
        <v>2014</v>
      </c>
      <c r="C54">
        <v>0</v>
      </c>
      <c r="D54">
        <f t="shared" si="0"/>
        <v>0</v>
      </c>
      <c r="E54">
        <v>10286842</v>
      </c>
      <c r="F54">
        <v>57.1</v>
      </c>
      <c r="G54" s="1">
        <v>2.7139762416481972E-2</v>
      </c>
      <c r="H54">
        <v>2.6099998950958301</v>
      </c>
      <c r="I54" t="s">
        <v>24</v>
      </c>
    </row>
    <row r="55" spans="1:9" x14ac:dyDescent="0.2">
      <c r="A55" t="s">
        <v>10</v>
      </c>
      <c r="B55">
        <v>2015</v>
      </c>
      <c r="C55">
        <v>0</v>
      </c>
      <c r="D55">
        <f t="shared" si="0"/>
        <v>0</v>
      </c>
      <c r="E55">
        <v>10575952</v>
      </c>
      <c r="F55">
        <v>58.8</v>
      </c>
      <c r="G55" s="1">
        <v>-1.351395808160305E-2</v>
      </c>
      <c r="H55">
        <v>2.5699999332428001</v>
      </c>
      <c r="I55" t="s">
        <v>24</v>
      </c>
    </row>
    <row r="56" spans="1:9" x14ac:dyDescent="0.2">
      <c r="A56" t="s">
        <v>10</v>
      </c>
      <c r="B56">
        <v>2016</v>
      </c>
      <c r="C56">
        <v>0</v>
      </c>
      <c r="D56">
        <f t="shared" si="0"/>
        <v>0</v>
      </c>
      <c r="E56">
        <v>10872067</v>
      </c>
      <c r="F56">
        <v>59.3</v>
      </c>
      <c r="G56" s="1">
        <v>-2.0271716639399529E-3</v>
      </c>
      <c r="H56">
        <v>2.5199999809265101</v>
      </c>
      <c r="I56" t="s">
        <v>24</v>
      </c>
    </row>
    <row r="57" spans="1:9" x14ac:dyDescent="0.2">
      <c r="A57" t="s">
        <v>10</v>
      </c>
      <c r="B57">
        <v>2017</v>
      </c>
      <c r="C57">
        <v>0</v>
      </c>
      <c r="D57">
        <f t="shared" si="0"/>
        <v>0</v>
      </c>
      <c r="E57">
        <v>11175204</v>
      </c>
      <c r="F57">
        <v>59.2</v>
      </c>
      <c r="G57" s="1">
        <v>3.0852951109409332E-2</v>
      </c>
      <c r="H57">
        <v>2.4400000572204599</v>
      </c>
      <c r="I57" t="s">
        <v>24</v>
      </c>
    </row>
    <row r="58" spans="1:9" x14ac:dyDescent="0.2">
      <c r="A58" t="s">
        <v>10</v>
      </c>
      <c r="B58">
        <v>2018</v>
      </c>
      <c r="C58">
        <v>0</v>
      </c>
      <c r="D58">
        <f t="shared" si="0"/>
        <v>0</v>
      </c>
      <c r="E58">
        <v>11485048</v>
      </c>
      <c r="F58">
        <v>56.7</v>
      </c>
      <c r="G58" s="1">
        <v>-0.1326303631067276</v>
      </c>
      <c r="H58">
        <v>2.3699998855590798</v>
      </c>
      <c r="I58" t="s">
        <v>24</v>
      </c>
    </row>
    <row r="59" spans="1:9" x14ac:dyDescent="0.2">
      <c r="A59" t="s">
        <v>10</v>
      </c>
      <c r="B59">
        <v>2019</v>
      </c>
      <c r="C59">
        <v>0</v>
      </c>
      <c r="D59">
        <f t="shared" si="0"/>
        <v>0</v>
      </c>
      <c r="E59">
        <v>11801151</v>
      </c>
      <c r="F59">
        <v>55.3</v>
      </c>
      <c r="G59" s="1">
        <v>-0.3478640615940094</v>
      </c>
      <c r="H59">
        <v>2.3199999332428001</v>
      </c>
      <c r="I59" t="s">
        <v>24</v>
      </c>
    </row>
    <row r="60" spans="1:9" x14ac:dyDescent="0.2">
      <c r="A60" t="s">
        <v>3</v>
      </c>
      <c r="B60">
        <v>1991</v>
      </c>
      <c r="C60">
        <v>0</v>
      </c>
      <c r="D60">
        <f t="shared" si="0"/>
        <v>0</v>
      </c>
      <c r="E60">
        <v>12137912</v>
      </c>
      <c r="F60" t="s">
        <v>17</v>
      </c>
      <c r="G60" t="s">
        <v>17</v>
      </c>
      <c r="H60">
        <v>7.78999996185303</v>
      </c>
      <c r="I60" t="s">
        <v>24</v>
      </c>
    </row>
    <row r="61" spans="1:9" x14ac:dyDescent="0.2">
      <c r="A61" t="s">
        <v>3</v>
      </c>
      <c r="B61">
        <v>1992</v>
      </c>
      <c r="C61">
        <v>0</v>
      </c>
      <c r="D61">
        <f t="shared" ref="D61:D120" si="1">(C61/E61)*1000</f>
        <v>0</v>
      </c>
      <c r="E61">
        <v>12499499</v>
      </c>
      <c r="F61" t="s">
        <v>17</v>
      </c>
      <c r="G61" t="s">
        <v>17</v>
      </c>
      <c r="H61">
        <v>7.8800001144409197</v>
      </c>
      <c r="I61" t="s">
        <v>24</v>
      </c>
    </row>
    <row r="62" spans="1:9" x14ac:dyDescent="0.2">
      <c r="A62" t="s">
        <v>3</v>
      </c>
      <c r="B62">
        <v>1993</v>
      </c>
      <c r="C62">
        <v>0</v>
      </c>
      <c r="D62">
        <f t="shared" si="1"/>
        <v>0</v>
      </c>
      <c r="E62">
        <v>12864090</v>
      </c>
      <c r="F62" t="s">
        <v>17</v>
      </c>
      <c r="G62" t="s">
        <v>17</v>
      </c>
      <c r="H62">
        <v>8.0200004577636701</v>
      </c>
      <c r="I62" t="s">
        <v>24</v>
      </c>
    </row>
    <row r="63" spans="1:9" x14ac:dyDescent="0.2">
      <c r="A63" t="s">
        <v>3</v>
      </c>
      <c r="B63">
        <v>1994</v>
      </c>
      <c r="C63">
        <v>0</v>
      </c>
      <c r="D63">
        <f t="shared" si="1"/>
        <v>0</v>
      </c>
      <c r="E63">
        <v>13230984</v>
      </c>
      <c r="F63" t="s">
        <v>17</v>
      </c>
      <c r="G63" t="s">
        <v>17</v>
      </c>
      <c r="H63">
        <v>8.0600004196166992</v>
      </c>
      <c r="I63" t="s">
        <v>24</v>
      </c>
    </row>
    <row r="64" spans="1:9" x14ac:dyDescent="0.2">
      <c r="A64" t="s">
        <v>3</v>
      </c>
      <c r="B64">
        <v>1995</v>
      </c>
      <c r="C64">
        <v>0</v>
      </c>
      <c r="D64">
        <f t="shared" si="1"/>
        <v>0</v>
      </c>
      <c r="E64">
        <v>13599988</v>
      </c>
      <c r="F64">
        <v>51.3</v>
      </c>
      <c r="G64" t="s">
        <v>17</v>
      </c>
      <c r="H64">
        <v>8.0600004196166992</v>
      </c>
      <c r="I64" t="s">
        <v>24</v>
      </c>
    </row>
    <row r="65" spans="1:9" x14ac:dyDescent="0.2">
      <c r="A65" t="s">
        <v>3</v>
      </c>
      <c r="B65">
        <v>1996</v>
      </c>
      <c r="C65">
        <v>0</v>
      </c>
      <c r="D65">
        <f t="shared" si="1"/>
        <v>0</v>
      </c>
      <c r="E65">
        <v>13970813</v>
      </c>
      <c r="F65">
        <v>45.7</v>
      </c>
      <c r="G65" s="2">
        <v>-0.9568256139755249</v>
      </c>
      <c r="H65">
        <v>8.0600004196166992</v>
      </c>
      <c r="I65" t="s">
        <v>24</v>
      </c>
    </row>
    <row r="66" spans="1:9" x14ac:dyDescent="0.2">
      <c r="A66" t="s">
        <v>3</v>
      </c>
      <c r="B66">
        <v>1997</v>
      </c>
      <c r="C66">
        <v>0</v>
      </c>
      <c r="D66">
        <f t="shared" si="1"/>
        <v>0</v>
      </c>
      <c r="E66">
        <v>14344449</v>
      </c>
      <c r="F66">
        <v>44.6</v>
      </c>
      <c r="G66" t="s">
        <v>17</v>
      </c>
      <c r="H66">
        <v>7.9299998283386204</v>
      </c>
      <c r="I66" t="s">
        <v>24</v>
      </c>
    </row>
    <row r="67" spans="1:9" x14ac:dyDescent="0.2">
      <c r="A67" t="s">
        <v>3</v>
      </c>
      <c r="B67">
        <v>1998</v>
      </c>
      <c r="C67">
        <v>0</v>
      </c>
      <c r="D67">
        <f t="shared" si="1"/>
        <v>0</v>
      </c>
      <c r="E67">
        <v>14723768</v>
      </c>
      <c r="F67">
        <v>48</v>
      </c>
      <c r="G67" s="2">
        <v>-0.78240799903869629</v>
      </c>
      <c r="H67">
        <v>7.8099999427795401</v>
      </c>
      <c r="I67" t="s">
        <v>24</v>
      </c>
    </row>
    <row r="68" spans="1:9" x14ac:dyDescent="0.2">
      <c r="A68" t="s">
        <v>3</v>
      </c>
      <c r="B68">
        <v>1999</v>
      </c>
      <c r="C68">
        <v>0</v>
      </c>
      <c r="D68">
        <f t="shared" si="1"/>
        <v>0</v>
      </c>
      <c r="E68">
        <v>15112592</v>
      </c>
      <c r="F68">
        <v>50.3</v>
      </c>
      <c r="G68" t="s">
        <v>17</v>
      </c>
      <c r="H68">
        <v>7.75</v>
      </c>
      <c r="I68" t="s">
        <v>24</v>
      </c>
    </row>
    <row r="69" spans="1:9" x14ac:dyDescent="0.2">
      <c r="A69" t="s">
        <v>3</v>
      </c>
      <c r="B69">
        <v>2000</v>
      </c>
      <c r="C69">
        <v>0</v>
      </c>
      <c r="D69">
        <f t="shared" si="1"/>
        <v>0</v>
      </c>
      <c r="E69">
        <v>15513945</v>
      </c>
      <c r="F69">
        <v>49.9</v>
      </c>
      <c r="G69" s="2">
        <v>-0.56282824277877808</v>
      </c>
      <c r="H69">
        <v>7.5999999046325701</v>
      </c>
      <c r="I69" t="s">
        <v>24</v>
      </c>
    </row>
    <row r="70" spans="1:9" x14ac:dyDescent="0.2">
      <c r="A70" t="s">
        <v>3</v>
      </c>
      <c r="B70">
        <v>2001</v>
      </c>
      <c r="C70">
        <v>0</v>
      </c>
      <c r="D70">
        <f t="shared" si="1"/>
        <v>0</v>
      </c>
      <c r="E70">
        <v>15928910</v>
      </c>
      <c r="F70">
        <v>53.3</v>
      </c>
      <c r="G70" t="s">
        <v>17</v>
      </c>
      <c r="H70">
        <v>7.46000003814697</v>
      </c>
      <c r="I70" t="s">
        <v>24</v>
      </c>
    </row>
    <row r="71" spans="1:9" x14ac:dyDescent="0.2">
      <c r="A71" t="s">
        <v>3</v>
      </c>
      <c r="B71">
        <v>2002</v>
      </c>
      <c r="C71">
        <v>0</v>
      </c>
      <c r="D71">
        <f t="shared" si="1"/>
        <v>0</v>
      </c>
      <c r="E71">
        <v>16357602</v>
      </c>
      <c r="F71">
        <v>52.8</v>
      </c>
      <c r="G71" s="2">
        <v>-0.67734211683273315</v>
      </c>
      <c r="H71">
        <v>6.6799998283386204</v>
      </c>
      <c r="I71" t="s">
        <v>24</v>
      </c>
    </row>
    <row r="72" spans="1:9" x14ac:dyDescent="0.2">
      <c r="A72" t="s">
        <v>3</v>
      </c>
      <c r="B72">
        <v>2003</v>
      </c>
      <c r="C72">
        <v>0</v>
      </c>
      <c r="D72">
        <f t="shared" si="1"/>
        <v>0</v>
      </c>
      <c r="E72">
        <v>16800865</v>
      </c>
      <c r="F72">
        <v>52.7</v>
      </c>
      <c r="G72" s="2">
        <v>-0.42980942130088806</v>
      </c>
      <c r="H72">
        <v>5.9000000953674299</v>
      </c>
      <c r="I72" t="s">
        <v>24</v>
      </c>
    </row>
    <row r="73" spans="1:9" x14ac:dyDescent="0.2">
      <c r="A73" t="s">
        <v>3</v>
      </c>
      <c r="B73">
        <v>2004</v>
      </c>
      <c r="C73">
        <v>0</v>
      </c>
      <c r="D73">
        <f t="shared" si="1"/>
        <v>0</v>
      </c>
      <c r="E73">
        <v>17259322</v>
      </c>
      <c r="F73">
        <v>52.3</v>
      </c>
      <c r="G73" s="2">
        <v>-0.36038905382156372</v>
      </c>
      <c r="H73">
        <v>5.1300001144409197</v>
      </c>
      <c r="I73" t="s">
        <v>24</v>
      </c>
    </row>
    <row r="74" spans="1:9" x14ac:dyDescent="0.2">
      <c r="A74" t="s">
        <v>3</v>
      </c>
      <c r="B74">
        <v>2005</v>
      </c>
      <c r="C74">
        <v>0</v>
      </c>
      <c r="D74">
        <f t="shared" si="1"/>
        <v>0</v>
      </c>
      <c r="E74">
        <v>17733410</v>
      </c>
      <c r="F74">
        <v>53</v>
      </c>
      <c r="G74" s="2">
        <v>-0.18314298987388611</v>
      </c>
      <c r="H74">
        <v>4.4000000953674299</v>
      </c>
      <c r="I74" t="s">
        <v>24</v>
      </c>
    </row>
    <row r="75" spans="1:9" x14ac:dyDescent="0.2">
      <c r="A75" t="s">
        <v>3</v>
      </c>
      <c r="B75">
        <v>2006</v>
      </c>
      <c r="C75">
        <v>0</v>
      </c>
      <c r="D75">
        <f t="shared" si="1"/>
        <v>0</v>
      </c>
      <c r="E75">
        <v>18223674</v>
      </c>
      <c r="F75">
        <v>54.6</v>
      </c>
      <c r="G75" s="2">
        <v>-0.24527144432067871</v>
      </c>
      <c r="H75">
        <v>3.6900000572204599</v>
      </c>
      <c r="I75" t="s">
        <v>24</v>
      </c>
    </row>
    <row r="76" spans="1:9" x14ac:dyDescent="0.2">
      <c r="A76" t="s">
        <v>3</v>
      </c>
      <c r="B76">
        <v>2007</v>
      </c>
      <c r="C76">
        <v>0</v>
      </c>
      <c r="D76">
        <f t="shared" si="1"/>
        <v>0</v>
      </c>
      <c r="E76">
        <v>18730282</v>
      </c>
      <c r="F76">
        <v>55.6</v>
      </c>
      <c r="G76" s="2">
        <v>-0.3250325620174408</v>
      </c>
      <c r="H76">
        <v>3.0599999427795401</v>
      </c>
      <c r="I76" t="s">
        <v>24</v>
      </c>
    </row>
    <row r="77" spans="1:9" x14ac:dyDescent="0.2">
      <c r="A77" t="s">
        <v>3</v>
      </c>
      <c r="B77">
        <v>2008</v>
      </c>
      <c r="C77">
        <v>0</v>
      </c>
      <c r="D77">
        <f t="shared" si="1"/>
        <v>0</v>
      </c>
      <c r="E77">
        <v>19252666</v>
      </c>
      <c r="F77">
        <v>54.3</v>
      </c>
      <c r="G77" s="2">
        <v>-0.55089610815048218</v>
      </c>
      <c r="H77">
        <v>3.3099999427795401</v>
      </c>
      <c r="I77" t="s">
        <v>24</v>
      </c>
    </row>
    <row r="78" spans="1:9" x14ac:dyDescent="0.2">
      <c r="A78" t="s">
        <v>3</v>
      </c>
      <c r="B78">
        <v>2009</v>
      </c>
      <c r="C78">
        <v>0</v>
      </c>
      <c r="D78">
        <f t="shared" si="1"/>
        <v>0</v>
      </c>
      <c r="E78">
        <v>19789919</v>
      </c>
      <c r="F78">
        <v>53</v>
      </c>
      <c r="G78" s="2">
        <v>-0.4744701087474823</v>
      </c>
      <c r="H78">
        <v>3.7699999809265101</v>
      </c>
      <c r="I78" t="s">
        <v>24</v>
      </c>
    </row>
    <row r="79" spans="1:9" x14ac:dyDescent="0.2">
      <c r="A79" t="s">
        <v>3</v>
      </c>
      <c r="B79">
        <v>2010</v>
      </c>
      <c r="C79">
        <v>0</v>
      </c>
      <c r="D79">
        <f t="shared" si="1"/>
        <v>0</v>
      </c>
      <c r="E79">
        <v>20341241</v>
      </c>
      <c r="F79">
        <v>52.3</v>
      </c>
      <c r="G79" s="2">
        <v>-0.73697143793106079</v>
      </c>
      <c r="H79">
        <v>4.1100001335143999</v>
      </c>
      <c r="I79" t="s">
        <v>24</v>
      </c>
    </row>
    <row r="80" spans="1:9" x14ac:dyDescent="0.2">
      <c r="A80" t="s">
        <v>3</v>
      </c>
      <c r="B80">
        <v>2011</v>
      </c>
      <c r="C80">
        <v>0</v>
      </c>
      <c r="D80">
        <f t="shared" si="1"/>
        <v>0</v>
      </c>
      <c r="E80">
        <v>20906388</v>
      </c>
      <c r="F80">
        <v>51.8</v>
      </c>
      <c r="G80" s="2">
        <v>-0.66168797016143799</v>
      </c>
      <c r="H80">
        <v>3.9700000286102299</v>
      </c>
      <c r="I80" t="s">
        <v>24</v>
      </c>
    </row>
    <row r="81" spans="1:9" x14ac:dyDescent="0.2">
      <c r="A81" t="s">
        <v>3</v>
      </c>
      <c r="B81">
        <v>2012</v>
      </c>
      <c r="C81">
        <v>0</v>
      </c>
      <c r="D81">
        <f t="shared" si="1"/>
        <v>0</v>
      </c>
      <c r="E81">
        <v>21485266</v>
      </c>
      <c r="F81">
        <v>51.8</v>
      </c>
      <c r="G81" s="2">
        <v>-0.58851742744445801</v>
      </c>
      <c r="H81">
        <v>3.8399999141693102</v>
      </c>
      <c r="I81" t="s">
        <v>24</v>
      </c>
    </row>
    <row r="82" spans="1:9" x14ac:dyDescent="0.2">
      <c r="A82" t="s">
        <v>3</v>
      </c>
      <c r="B82">
        <v>2013</v>
      </c>
      <c r="C82">
        <v>0</v>
      </c>
      <c r="D82">
        <f t="shared" si="1"/>
        <v>0</v>
      </c>
      <c r="E82">
        <v>22077298</v>
      </c>
      <c r="F82">
        <v>52.3</v>
      </c>
      <c r="G82" s="2">
        <v>-0.53223729133605957</v>
      </c>
      <c r="H82">
        <v>3.71000003814697</v>
      </c>
      <c r="I82" t="s">
        <v>24</v>
      </c>
    </row>
    <row r="83" spans="1:9" x14ac:dyDescent="0.2">
      <c r="A83" t="s">
        <v>3</v>
      </c>
      <c r="B83">
        <v>2014</v>
      </c>
      <c r="C83">
        <v>0</v>
      </c>
      <c r="D83">
        <f t="shared" si="1"/>
        <v>0</v>
      </c>
      <c r="E83">
        <v>22681858</v>
      </c>
      <c r="F83">
        <v>52.6</v>
      </c>
      <c r="G83" s="2">
        <v>-1.0592523813247681</v>
      </c>
      <c r="H83">
        <v>3.5299999713897701</v>
      </c>
      <c r="I83" t="s">
        <v>24</v>
      </c>
    </row>
    <row r="84" spans="1:9" x14ac:dyDescent="0.2">
      <c r="A84" t="s">
        <v>3</v>
      </c>
      <c r="B84">
        <v>2015</v>
      </c>
      <c r="C84">
        <f>283+712</f>
        <v>995</v>
      </c>
      <c r="D84">
        <f t="shared" si="1"/>
        <v>4.2706853973634551E-2</v>
      </c>
      <c r="E84">
        <v>23298368</v>
      </c>
      <c r="F84">
        <v>51.9</v>
      </c>
      <c r="G84" s="2">
        <v>-0.98960745334625244</v>
      </c>
      <c r="H84">
        <v>3.5099999904632599</v>
      </c>
      <c r="I84" t="s">
        <v>24</v>
      </c>
    </row>
    <row r="85" spans="1:9" x14ac:dyDescent="0.2">
      <c r="A85" t="s">
        <v>3</v>
      </c>
      <c r="B85">
        <v>2016</v>
      </c>
      <c r="C85">
        <v>221</v>
      </c>
      <c r="D85">
        <f t="shared" si="1"/>
        <v>9.23660542797268E-3</v>
      </c>
      <c r="E85">
        <v>23926539</v>
      </c>
      <c r="F85">
        <v>54.2</v>
      </c>
      <c r="G85" s="2">
        <v>-1.0621370077133179</v>
      </c>
      <c r="H85">
        <v>3.4700000286102299</v>
      </c>
      <c r="I85" t="s">
        <v>24</v>
      </c>
    </row>
    <row r="86" spans="1:9" x14ac:dyDescent="0.2">
      <c r="A86" t="s">
        <v>3</v>
      </c>
      <c r="B86">
        <v>2017</v>
      </c>
      <c r="C86">
        <v>98</v>
      </c>
      <c r="D86">
        <f t="shared" si="1"/>
        <v>3.9892461322121658E-3</v>
      </c>
      <c r="E86">
        <v>24566045</v>
      </c>
      <c r="F86">
        <v>51.8</v>
      </c>
      <c r="G86" s="2">
        <v>-1.0956798791885376</v>
      </c>
      <c r="H86">
        <v>3.4100000858306898</v>
      </c>
      <c r="I86" t="s">
        <v>24</v>
      </c>
    </row>
    <row r="87" spans="1:9" x14ac:dyDescent="0.2">
      <c r="A87" t="s">
        <v>3</v>
      </c>
      <c r="B87">
        <v>2018</v>
      </c>
      <c r="C87">
        <v>751</v>
      </c>
      <c r="D87">
        <f t="shared" si="1"/>
        <v>2.9782397746340977E-2</v>
      </c>
      <c r="E87">
        <v>25216237</v>
      </c>
      <c r="F87">
        <v>51.9</v>
      </c>
      <c r="G87" s="2">
        <v>-1.3938366174697876</v>
      </c>
      <c r="H87">
        <v>3.3599998950958301</v>
      </c>
      <c r="I87" t="s">
        <v>24</v>
      </c>
    </row>
    <row r="88" spans="1:9" x14ac:dyDescent="0.2">
      <c r="A88" t="s">
        <v>3</v>
      </c>
      <c r="B88">
        <v>2019</v>
      </c>
      <c r="C88">
        <f>558+135</f>
        <v>693</v>
      </c>
      <c r="D88">
        <f t="shared" si="1"/>
        <v>2.6781180366032654E-2</v>
      </c>
      <c r="E88">
        <v>25876380</v>
      </c>
      <c r="F88">
        <v>52.4</v>
      </c>
      <c r="G88" s="2">
        <v>-1.5552833080291748</v>
      </c>
      <c r="H88">
        <v>3.3199999332428001</v>
      </c>
      <c r="I88" t="s">
        <v>24</v>
      </c>
    </row>
    <row r="89" spans="1:9" x14ac:dyDescent="0.2">
      <c r="A89" t="s">
        <v>8</v>
      </c>
      <c r="B89">
        <v>1991</v>
      </c>
      <c r="C89">
        <v>0</v>
      </c>
      <c r="D89">
        <f t="shared" si="1"/>
        <v>0</v>
      </c>
      <c r="E89">
        <v>35908244</v>
      </c>
      <c r="F89" t="s">
        <v>17</v>
      </c>
      <c r="G89" t="s">
        <v>17</v>
      </c>
      <c r="H89">
        <v>19.590000152587901</v>
      </c>
      <c r="I89" t="s">
        <v>24</v>
      </c>
    </row>
    <row r="90" spans="1:9" x14ac:dyDescent="0.2">
      <c r="A90" t="s">
        <v>8</v>
      </c>
      <c r="B90">
        <v>1992</v>
      </c>
      <c r="C90">
        <v>0</v>
      </c>
      <c r="D90">
        <f t="shared" si="1"/>
        <v>0</v>
      </c>
      <c r="E90">
        <v>37333914</v>
      </c>
      <c r="F90" t="s">
        <v>17</v>
      </c>
      <c r="G90" t="s">
        <v>17</v>
      </c>
      <c r="H90">
        <v>19.719999313354499</v>
      </c>
      <c r="I90" t="s">
        <v>24</v>
      </c>
    </row>
    <row r="91" spans="1:9" x14ac:dyDescent="0.2">
      <c r="A91" t="s">
        <v>8</v>
      </c>
      <c r="B91">
        <v>1993</v>
      </c>
      <c r="C91">
        <v>0</v>
      </c>
      <c r="D91">
        <f t="shared" si="1"/>
        <v>0</v>
      </c>
      <c r="E91">
        <v>38815834</v>
      </c>
      <c r="F91" t="s">
        <v>17</v>
      </c>
      <c r="G91" t="s">
        <v>17</v>
      </c>
      <c r="H91">
        <v>19.930000305175799</v>
      </c>
      <c r="I91" t="s">
        <v>24</v>
      </c>
    </row>
    <row r="92" spans="1:9" x14ac:dyDescent="0.2">
      <c r="A92" t="s">
        <v>8</v>
      </c>
      <c r="B92">
        <v>1994</v>
      </c>
      <c r="C92">
        <v>0</v>
      </c>
      <c r="D92">
        <f t="shared" si="1"/>
        <v>0</v>
      </c>
      <c r="E92">
        <v>40252975</v>
      </c>
      <c r="F92" t="s">
        <v>17</v>
      </c>
      <c r="G92" t="s">
        <v>17</v>
      </c>
      <c r="H92">
        <v>20</v>
      </c>
      <c r="I92" t="s">
        <v>24</v>
      </c>
    </row>
    <row r="93" spans="1:9" x14ac:dyDescent="0.2">
      <c r="A93" t="s">
        <v>8</v>
      </c>
      <c r="B93">
        <v>1995</v>
      </c>
      <c r="C93">
        <v>0</v>
      </c>
      <c r="D93">
        <f t="shared" si="1"/>
        <v>0</v>
      </c>
      <c r="E93">
        <v>41576234</v>
      </c>
      <c r="F93">
        <v>41.4</v>
      </c>
      <c r="G93" t="s">
        <v>17</v>
      </c>
      <c r="H93">
        <v>19.9899997711182</v>
      </c>
      <c r="I93" t="s">
        <v>24</v>
      </c>
    </row>
    <row r="94" spans="1:9" x14ac:dyDescent="0.2">
      <c r="A94" t="s">
        <v>8</v>
      </c>
      <c r="B94">
        <v>1996</v>
      </c>
      <c r="C94">
        <v>1304</v>
      </c>
      <c r="D94">
        <f t="shared" si="1"/>
        <v>3.049775683619264E-2</v>
      </c>
      <c r="E94">
        <v>42757243</v>
      </c>
      <c r="F94">
        <v>39.5</v>
      </c>
      <c r="G94" s="2">
        <v>-2.68191361427307</v>
      </c>
      <c r="H94">
        <v>19.9899997711182</v>
      </c>
      <c r="I94" t="s">
        <v>24</v>
      </c>
    </row>
    <row r="95" spans="1:9" x14ac:dyDescent="0.2">
      <c r="A95" t="s">
        <v>8</v>
      </c>
      <c r="B95">
        <v>1997</v>
      </c>
      <c r="C95">
        <v>4457</v>
      </c>
      <c r="D95">
        <f t="shared" si="1"/>
        <v>0.10169488431607965</v>
      </c>
      <c r="E95">
        <v>43827180</v>
      </c>
      <c r="F95">
        <v>39.5</v>
      </c>
      <c r="G95" t="s">
        <v>17</v>
      </c>
      <c r="H95">
        <v>19.969999313354499</v>
      </c>
      <c r="I95" t="s">
        <v>24</v>
      </c>
    </row>
    <row r="96" spans="1:9" x14ac:dyDescent="0.2">
      <c r="A96" t="s">
        <v>8</v>
      </c>
      <c r="B96">
        <v>1998</v>
      </c>
      <c r="C96">
        <v>3268</v>
      </c>
      <c r="D96">
        <f t="shared" si="1"/>
        <v>7.2865159521745021E-2</v>
      </c>
      <c r="E96">
        <v>44849967</v>
      </c>
      <c r="F96">
        <v>40.6</v>
      </c>
      <c r="G96" s="2">
        <v>-2.8446531295776367</v>
      </c>
      <c r="H96">
        <v>19.969999313354499</v>
      </c>
      <c r="I96" t="s">
        <v>24</v>
      </c>
    </row>
    <row r="97" spans="1:9" x14ac:dyDescent="0.2">
      <c r="A97" t="s">
        <v>8</v>
      </c>
      <c r="B97">
        <v>1999</v>
      </c>
      <c r="C97">
        <v>2953</v>
      </c>
      <c r="D97">
        <f t="shared" si="1"/>
        <v>6.4308033258032901E-2</v>
      </c>
      <c r="E97">
        <v>45919613</v>
      </c>
      <c r="F97">
        <v>34</v>
      </c>
      <c r="G97" t="s">
        <v>17</v>
      </c>
      <c r="H97">
        <v>20.049999237060501</v>
      </c>
      <c r="I97" t="s">
        <v>24</v>
      </c>
    </row>
    <row r="98" spans="1:9" x14ac:dyDescent="0.2">
      <c r="A98" t="s">
        <v>8</v>
      </c>
      <c r="B98">
        <v>2000</v>
      </c>
      <c r="C98">
        <v>1294</v>
      </c>
      <c r="D98">
        <f t="shared" si="1"/>
        <v>2.7470062832567674E-2</v>
      </c>
      <c r="E98">
        <v>47105826</v>
      </c>
      <c r="F98">
        <v>34.799999999999997</v>
      </c>
      <c r="G98" s="2">
        <v>-2.4765510559082031</v>
      </c>
      <c r="H98">
        <v>20</v>
      </c>
      <c r="I98" t="s">
        <v>24</v>
      </c>
    </row>
    <row r="99" spans="1:9" x14ac:dyDescent="0.2">
      <c r="A99" t="s">
        <v>8</v>
      </c>
      <c r="B99">
        <v>2001</v>
      </c>
      <c r="C99">
        <v>454</v>
      </c>
      <c r="D99">
        <f t="shared" si="1"/>
        <v>9.3746363843885874E-3</v>
      </c>
      <c r="E99">
        <v>48428545</v>
      </c>
      <c r="F99" t="s">
        <v>17</v>
      </c>
      <c r="G99" t="s">
        <v>17</v>
      </c>
      <c r="H99">
        <v>19.959999084472699</v>
      </c>
      <c r="I99" t="s">
        <v>24</v>
      </c>
    </row>
    <row r="100" spans="1:9" x14ac:dyDescent="0.2">
      <c r="A100" t="s">
        <v>8</v>
      </c>
      <c r="B100">
        <v>2002</v>
      </c>
      <c r="C100">
        <v>0</v>
      </c>
      <c r="D100">
        <f t="shared" si="1"/>
        <v>0</v>
      </c>
      <c r="E100">
        <v>49871666</v>
      </c>
      <c r="F100" t="s">
        <v>17</v>
      </c>
      <c r="G100" s="2">
        <v>-1.9775750637054443</v>
      </c>
      <c r="H100">
        <v>20.040000915527301</v>
      </c>
      <c r="I100" t="s">
        <v>24</v>
      </c>
    </row>
    <row r="101" spans="1:9" x14ac:dyDescent="0.2">
      <c r="A101" t="s">
        <v>8</v>
      </c>
      <c r="B101">
        <v>2003</v>
      </c>
      <c r="C101">
        <v>0</v>
      </c>
      <c r="D101">
        <f t="shared" si="1"/>
        <v>0</v>
      </c>
      <c r="E101">
        <v>51425580</v>
      </c>
      <c r="F101" t="s">
        <v>17</v>
      </c>
      <c r="G101" s="2">
        <v>-2.028026819229126</v>
      </c>
      <c r="H101">
        <v>20.030000686645501</v>
      </c>
      <c r="I101" t="s">
        <v>24</v>
      </c>
    </row>
    <row r="102" spans="1:9" x14ac:dyDescent="0.2">
      <c r="A102" t="s">
        <v>8</v>
      </c>
      <c r="B102">
        <v>2004</v>
      </c>
      <c r="C102">
        <v>0</v>
      </c>
      <c r="D102">
        <f t="shared" si="1"/>
        <v>0</v>
      </c>
      <c r="E102">
        <v>53068880</v>
      </c>
      <c r="F102" t="s">
        <v>17</v>
      </c>
      <c r="G102" s="2">
        <v>-2.3880276679992676</v>
      </c>
      <c r="H102">
        <v>19.940000534057599</v>
      </c>
      <c r="I102" t="s">
        <v>24</v>
      </c>
    </row>
    <row r="103" spans="1:9" x14ac:dyDescent="0.2">
      <c r="A103" t="s">
        <v>8</v>
      </c>
      <c r="B103">
        <v>2005</v>
      </c>
      <c r="C103">
        <v>34</v>
      </c>
      <c r="D103">
        <f t="shared" si="1"/>
        <v>6.2059760153994358E-4</v>
      </c>
      <c r="E103">
        <v>54785903</v>
      </c>
      <c r="F103" t="s">
        <v>17</v>
      </c>
      <c r="G103" s="2">
        <v>-2.132514476776123</v>
      </c>
      <c r="H103">
        <v>19.799999237060501</v>
      </c>
      <c r="I103" t="s">
        <v>24</v>
      </c>
    </row>
    <row r="104" spans="1:9" x14ac:dyDescent="0.2">
      <c r="A104" t="s">
        <v>8</v>
      </c>
      <c r="B104">
        <v>2006</v>
      </c>
      <c r="C104">
        <v>182</v>
      </c>
      <c r="D104">
        <f t="shared" si="1"/>
        <v>3.2167959450413596E-3</v>
      </c>
      <c r="E104">
        <v>56578037</v>
      </c>
      <c r="F104" t="s">
        <v>17</v>
      </c>
      <c r="G104" s="2">
        <v>-2.2500128746032715</v>
      </c>
      <c r="H104">
        <v>18.610000610351602</v>
      </c>
      <c r="I104" t="s">
        <v>24</v>
      </c>
    </row>
    <row r="105" spans="1:9" x14ac:dyDescent="0.2">
      <c r="A105" t="s">
        <v>8</v>
      </c>
      <c r="B105">
        <v>2007</v>
      </c>
      <c r="C105">
        <f>516+116</f>
        <v>632</v>
      </c>
      <c r="D105">
        <f t="shared" si="1"/>
        <v>1.0811979118578381E-2</v>
      </c>
      <c r="E105">
        <v>58453683</v>
      </c>
      <c r="F105" t="s">
        <v>17</v>
      </c>
      <c r="G105" s="2">
        <v>-2.1764822006225586</v>
      </c>
      <c r="H105">
        <v>17.4899997711182</v>
      </c>
      <c r="I105" t="s">
        <v>24</v>
      </c>
    </row>
    <row r="106" spans="1:9" x14ac:dyDescent="0.2">
      <c r="A106" t="s">
        <v>8</v>
      </c>
      <c r="B106">
        <v>2008</v>
      </c>
      <c r="C106">
        <f>486+250</f>
        <v>736</v>
      </c>
      <c r="D106">
        <f t="shared" si="1"/>
        <v>1.2183172340821929E-2</v>
      </c>
      <c r="E106">
        <v>60411195</v>
      </c>
      <c r="F106" t="s">
        <v>17</v>
      </c>
      <c r="G106" s="2">
        <v>-2.0059683322906494</v>
      </c>
      <c r="H106">
        <v>16.5200004577637</v>
      </c>
      <c r="I106" t="s">
        <v>24</v>
      </c>
    </row>
    <row r="107" spans="1:9" x14ac:dyDescent="0.2">
      <c r="A107" t="s">
        <v>8</v>
      </c>
      <c r="B107">
        <v>2009</v>
      </c>
      <c r="C107">
        <v>0</v>
      </c>
      <c r="D107">
        <f t="shared" si="1"/>
        <v>0</v>
      </c>
      <c r="E107">
        <v>62448574</v>
      </c>
      <c r="F107">
        <v>42.8</v>
      </c>
      <c r="G107" s="2">
        <v>-2.0020914077758789</v>
      </c>
      <c r="H107">
        <v>16.100000381469702</v>
      </c>
      <c r="I107" t="s">
        <v>24</v>
      </c>
    </row>
    <row r="108" spans="1:9" x14ac:dyDescent="0.2">
      <c r="A108" t="s">
        <v>8</v>
      </c>
      <c r="B108">
        <v>2010</v>
      </c>
      <c r="C108">
        <v>0</v>
      </c>
      <c r="D108">
        <f t="shared" si="1"/>
        <v>0</v>
      </c>
      <c r="E108">
        <v>64563854</v>
      </c>
      <c r="F108">
        <v>41.4</v>
      </c>
      <c r="G108" s="2">
        <v>-2.196742057800293</v>
      </c>
      <c r="H108">
        <v>13.949999809265099</v>
      </c>
      <c r="I108" t="s">
        <v>24</v>
      </c>
    </row>
    <row r="109" spans="1:9" x14ac:dyDescent="0.2">
      <c r="A109" t="s">
        <v>8</v>
      </c>
      <c r="B109">
        <v>2011</v>
      </c>
      <c r="C109">
        <v>41</v>
      </c>
      <c r="D109">
        <f t="shared" si="1"/>
        <v>6.1418479559173511E-4</v>
      </c>
      <c r="E109">
        <v>66755153</v>
      </c>
      <c r="F109">
        <v>40.700000000000003</v>
      </c>
      <c r="G109" s="2">
        <v>-2.212989330291748</v>
      </c>
      <c r="H109">
        <v>11.8900003433228</v>
      </c>
      <c r="I109" t="s">
        <v>24</v>
      </c>
    </row>
    <row r="110" spans="1:9" x14ac:dyDescent="0.2">
      <c r="A110" t="s">
        <v>8</v>
      </c>
      <c r="B110">
        <v>2012</v>
      </c>
      <c r="C110">
        <v>703</v>
      </c>
      <c r="D110">
        <f t="shared" si="1"/>
        <v>1.0185343256282056E-2</v>
      </c>
      <c r="E110">
        <v>69020747</v>
      </c>
      <c r="F110">
        <v>41.1</v>
      </c>
      <c r="G110" s="2">
        <v>-2.085892915725708</v>
      </c>
      <c r="H110">
        <v>10</v>
      </c>
      <c r="I110" t="s">
        <v>24</v>
      </c>
    </row>
    <row r="111" spans="1:9" x14ac:dyDescent="0.2">
      <c r="A111" t="s">
        <v>8</v>
      </c>
      <c r="B111">
        <v>2013</v>
      </c>
      <c r="C111">
        <f>1379+94</f>
        <v>1473</v>
      </c>
      <c r="D111">
        <f t="shared" si="1"/>
        <v>2.0642161240167593E-2</v>
      </c>
      <c r="E111">
        <v>71358807</v>
      </c>
      <c r="F111">
        <v>39.6</v>
      </c>
      <c r="G111" s="2">
        <v>-2.1921906471252441</v>
      </c>
      <c r="H111">
        <v>10.0100002288818</v>
      </c>
      <c r="I111" t="s">
        <v>24</v>
      </c>
    </row>
    <row r="112" spans="1:9" x14ac:dyDescent="0.2">
      <c r="A112" t="s">
        <v>8</v>
      </c>
      <c r="B112">
        <v>2014</v>
      </c>
      <c r="C112">
        <f>59+79</f>
        <v>138</v>
      </c>
      <c r="D112">
        <f t="shared" si="1"/>
        <v>1.8707438797495595E-3</v>
      </c>
      <c r="E112">
        <v>73767447</v>
      </c>
      <c r="F112">
        <v>40.6</v>
      </c>
      <c r="G112" s="2">
        <v>-2.1679213047027588</v>
      </c>
      <c r="H112">
        <v>9.9499998092651403</v>
      </c>
      <c r="I112" t="s">
        <v>24</v>
      </c>
    </row>
    <row r="113" spans="1:9" x14ac:dyDescent="0.2">
      <c r="A113" t="s">
        <v>8</v>
      </c>
      <c r="B113">
        <v>2015</v>
      </c>
      <c r="C113">
        <v>0</v>
      </c>
      <c r="D113">
        <f t="shared" si="1"/>
        <v>0</v>
      </c>
      <c r="E113">
        <v>76244544</v>
      </c>
      <c r="F113">
        <v>45</v>
      </c>
      <c r="G113" s="2">
        <v>-2.1508543491363525</v>
      </c>
      <c r="H113">
        <v>9.8999996185302699</v>
      </c>
      <c r="I113" t="s">
        <v>24</v>
      </c>
    </row>
    <row r="114" spans="1:9" x14ac:dyDescent="0.2">
      <c r="A114" t="s">
        <v>8</v>
      </c>
      <c r="B114">
        <v>2016</v>
      </c>
      <c r="C114">
        <v>477</v>
      </c>
      <c r="D114">
        <f t="shared" si="1"/>
        <v>6.0541348554350649E-3</v>
      </c>
      <c r="E114">
        <v>78789127</v>
      </c>
      <c r="F114">
        <v>46.4</v>
      </c>
      <c r="G114" s="2">
        <v>-2.234621524810791</v>
      </c>
      <c r="H114">
        <v>9.8500003814697301</v>
      </c>
      <c r="I114" t="s">
        <v>24</v>
      </c>
    </row>
    <row r="115" spans="1:9" x14ac:dyDescent="0.2">
      <c r="A115" t="s">
        <v>8</v>
      </c>
      <c r="B115">
        <v>2017</v>
      </c>
      <c r="C115">
        <f>3309+86</f>
        <v>3395</v>
      </c>
      <c r="D115">
        <f t="shared" si="1"/>
        <v>4.1708250017162427E-2</v>
      </c>
      <c r="E115">
        <v>81398764</v>
      </c>
      <c r="F115">
        <v>56.4</v>
      </c>
      <c r="G115" s="2">
        <v>-2.3511791229248047</v>
      </c>
      <c r="H115">
        <v>9.75</v>
      </c>
      <c r="I115" t="s">
        <v>24</v>
      </c>
    </row>
    <row r="116" spans="1:9" x14ac:dyDescent="0.2">
      <c r="A116" t="s">
        <v>8</v>
      </c>
      <c r="B116">
        <v>2018</v>
      </c>
      <c r="C116">
        <v>425</v>
      </c>
      <c r="D116">
        <f t="shared" si="1"/>
        <v>5.0554258452234864E-3</v>
      </c>
      <c r="E116">
        <v>84068091</v>
      </c>
      <c r="F116">
        <v>52.1</v>
      </c>
      <c r="G116" s="2">
        <v>-2.1078777313232422</v>
      </c>
      <c r="H116">
        <v>9.6599998474121094</v>
      </c>
      <c r="I116" t="s">
        <v>24</v>
      </c>
    </row>
    <row r="117" spans="1:9" x14ac:dyDescent="0.2">
      <c r="A117" t="s">
        <v>8</v>
      </c>
      <c r="B117">
        <v>2019</v>
      </c>
      <c r="C117">
        <v>177</v>
      </c>
      <c r="D117">
        <f t="shared" si="1"/>
        <v>2.0393921380880021E-3</v>
      </c>
      <c r="E117">
        <v>86790567</v>
      </c>
      <c r="F117">
        <v>50.3</v>
      </c>
      <c r="G117" s="2">
        <v>-1.8080073595046997</v>
      </c>
      <c r="H117">
        <v>9.6000003814697301</v>
      </c>
      <c r="I117" t="s">
        <v>24</v>
      </c>
    </row>
    <row r="118" spans="1:9" x14ac:dyDescent="0.2">
      <c r="A118" t="s">
        <v>16</v>
      </c>
      <c r="B118">
        <v>1991</v>
      </c>
      <c r="C118">
        <v>59</v>
      </c>
      <c r="D118">
        <f t="shared" si="1"/>
        <v>9.7224327833841967E-2</v>
      </c>
      <c r="E118">
        <v>606844</v>
      </c>
      <c r="F118" t="s">
        <v>17</v>
      </c>
      <c r="G118" t="s">
        <v>17</v>
      </c>
      <c r="H118">
        <v>11.3800001144409</v>
      </c>
      <c r="I118" t="s">
        <v>25</v>
      </c>
    </row>
    <row r="119" spans="1:9" x14ac:dyDescent="0.2">
      <c r="A119" t="s">
        <v>16</v>
      </c>
      <c r="B119">
        <v>1992</v>
      </c>
      <c r="C119">
        <v>129</v>
      </c>
      <c r="D119">
        <f t="shared" si="1"/>
        <v>0.20973768156942318</v>
      </c>
      <c r="E119">
        <v>615054</v>
      </c>
      <c r="F119" t="s">
        <v>17</v>
      </c>
      <c r="G119" t="s">
        <v>17</v>
      </c>
      <c r="H119">
        <v>11.4700002670288</v>
      </c>
      <c r="I119" t="s">
        <v>25</v>
      </c>
    </row>
    <row r="120" spans="1:9" x14ac:dyDescent="0.2">
      <c r="A120" t="s">
        <v>16</v>
      </c>
      <c r="B120">
        <v>1993</v>
      </c>
      <c r="C120">
        <v>33</v>
      </c>
      <c r="D120">
        <f t="shared" si="1"/>
        <v>5.3355322193388788E-2</v>
      </c>
      <c r="E120">
        <v>618495</v>
      </c>
      <c r="F120" t="s">
        <v>17</v>
      </c>
      <c r="G120" t="s">
        <v>17</v>
      </c>
      <c r="H120">
        <v>11.6099996566772</v>
      </c>
      <c r="I120" t="s">
        <v>25</v>
      </c>
    </row>
    <row r="121" spans="1:9" x14ac:dyDescent="0.2">
      <c r="A121" t="s">
        <v>16</v>
      </c>
      <c r="B121">
        <v>1994</v>
      </c>
      <c r="C121">
        <v>39</v>
      </c>
      <c r="D121">
        <f t="shared" ref="D121:D180" si="2">(C121/E121)*1000</f>
        <v>6.2664091547417436E-2</v>
      </c>
      <c r="E121">
        <v>622366</v>
      </c>
      <c r="F121" t="s">
        <v>17</v>
      </c>
      <c r="G121" t="s">
        <v>17</v>
      </c>
      <c r="H121">
        <v>11.6599998474121</v>
      </c>
      <c r="I121" t="s">
        <v>25</v>
      </c>
    </row>
    <row r="122" spans="1:9" x14ac:dyDescent="0.2">
      <c r="A122" t="s">
        <v>16</v>
      </c>
      <c r="B122">
        <v>1995</v>
      </c>
      <c r="C122">
        <v>0</v>
      </c>
      <c r="D122">
        <f t="shared" si="2"/>
        <v>0</v>
      </c>
      <c r="E122">
        <v>630388</v>
      </c>
      <c r="F122" t="s">
        <v>17</v>
      </c>
      <c r="G122" t="s">
        <v>17</v>
      </c>
      <c r="H122">
        <v>11.6499996185303</v>
      </c>
      <c r="I122" t="s">
        <v>25</v>
      </c>
    </row>
    <row r="123" spans="1:9" x14ac:dyDescent="0.2">
      <c r="A123" t="s">
        <v>16</v>
      </c>
      <c r="B123">
        <v>1996</v>
      </c>
      <c r="C123">
        <v>0</v>
      </c>
      <c r="D123">
        <f t="shared" si="2"/>
        <v>0</v>
      </c>
      <c r="E123">
        <v>643654</v>
      </c>
      <c r="F123" t="s">
        <v>17</v>
      </c>
      <c r="G123" s="2">
        <v>-0.33885151147842407</v>
      </c>
      <c r="H123">
        <v>11.6599998474121</v>
      </c>
      <c r="I123" t="s">
        <v>25</v>
      </c>
    </row>
    <row r="124" spans="1:9" x14ac:dyDescent="0.2">
      <c r="A124" t="s">
        <v>16</v>
      </c>
      <c r="B124">
        <v>1997</v>
      </c>
      <c r="C124">
        <v>0</v>
      </c>
      <c r="D124">
        <f t="shared" si="2"/>
        <v>0</v>
      </c>
      <c r="E124">
        <v>660863</v>
      </c>
      <c r="F124">
        <v>54.5</v>
      </c>
      <c r="G124" t="s">
        <v>17</v>
      </c>
      <c r="H124">
        <v>11.6400003433228</v>
      </c>
      <c r="I124" t="s">
        <v>25</v>
      </c>
    </row>
    <row r="125" spans="1:9" x14ac:dyDescent="0.2">
      <c r="A125" t="s">
        <v>16</v>
      </c>
      <c r="B125">
        <v>1998</v>
      </c>
      <c r="C125">
        <v>0</v>
      </c>
      <c r="D125">
        <f t="shared" si="2"/>
        <v>0</v>
      </c>
      <c r="E125">
        <v>680463</v>
      </c>
      <c r="F125">
        <v>55.9</v>
      </c>
      <c r="G125" s="2">
        <v>-0.96253979206085205</v>
      </c>
      <c r="H125">
        <v>11.6400003433228</v>
      </c>
      <c r="I125" t="s">
        <v>25</v>
      </c>
    </row>
    <row r="126" spans="1:9" x14ac:dyDescent="0.2">
      <c r="A126" t="s">
        <v>16</v>
      </c>
      <c r="B126">
        <v>1999</v>
      </c>
      <c r="C126">
        <v>25</v>
      </c>
      <c r="D126">
        <f t="shared" si="2"/>
        <v>3.5715561270045361E-2</v>
      </c>
      <c r="E126">
        <v>699975</v>
      </c>
      <c r="F126">
        <v>57.1</v>
      </c>
      <c r="G126" t="s">
        <v>17</v>
      </c>
      <c r="H126">
        <v>11.699999809265099</v>
      </c>
      <c r="I126" t="s">
        <v>25</v>
      </c>
    </row>
    <row r="127" spans="1:9" x14ac:dyDescent="0.2">
      <c r="A127" t="s">
        <v>16</v>
      </c>
      <c r="B127">
        <v>2000</v>
      </c>
      <c r="C127">
        <v>0</v>
      </c>
      <c r="D127">
        <f t="shared" si="2"/>
        <v>0</v>
      </c>
      <c r="E127">
        <v>717584</v>
      </c>
      <c r="F127">
        <v>55.1</v>
      </c>
      <c r="G127" s="2">
        <v>-0.24183271825313568</v>
      </c>
      <c r="H127">
        <v>11.6599998474121</v>
      </c>
      <c r="I127" t="s">
        <v>25</v>
      </c>
    </row>
    <row r="128" spans="1:9" x14ac:dyDescent="0.2">
      <c r="A128" t="s">
        <v>16</v>
      </c>
      <c r="B128">
        <v>2001</v>
      </c>
      <c r="C128">
        <v>0</v>
      </c>
      <c r="D128">
        <f t="shared" si="2"/>
        <v>0</v>
      </c>
      <c r="E128">
        <v>733015</v>
      </c>
      <c r="F128">
        <v>58.3</v>
      </c>
      <c r="G128" t="s">
        <v>17</v>
      </c>
      <c r="H128">
        <v>11.6300001144409</v>
      </c>
      <c r="I128" t="s">
        <v>25</v>
      </c>
    </row>
    <row r="129" spans="1:9" x14ac:dyDescent="0.2">
      <c r="A129" t="s">
        <v>16</v>
      </c>
      <c r="B129">
        <v>2002</v>
      </c>
      <c r="C129">
        <v>0</v>
      </c>
      <c r="D129">
        <f t="shared" si="2"/>
        <v>0</v>
      </c>
      <c r="E129">
        <v>746942</v>
      </c>
      <c r="F129">
        <v>57.8</v>
      </c>
      <c r="G129" s="2">
        <v>-0.31313019990921021</v>
      </c>
      <c r="H129">
        <v>11.689999580383301</v>
      </c>
      <c r="I129" t="s">
        <v>25</v>
      </c>
    </row>
    <row r="130" spans="1:9" x14ac:dyDescent="0.2">
      <c r="A130" t="s">
        <v>16</v>
      </c>
      <c r="B130">
        <v>2003</v>
      </c>
      <c r="C130">
        <v>0</v>
      </c>
      <c r="D130">
        <f t="shared" si="2"/>
        <v>0</v>
      </c>
      <c r="E130">
        <v>759641</v>
      </c>
      <c r="F130">
        <v>55.7</v>
      </c>
      <c r="G130" s="2">
        <v>-0.91250824928283691</v>
      </c>
      <c r="H130">
        <v>11.689999580383301</v>
      </c>
      <c r="I130" t="s">
        <v>25</v>
      </c>
    </row>
    <row r="131" spans="1:9" x14ac:dyDescent="0.2">
      <c r="A131" t="s">
        <v>16</v>
      </c>
      <c r="B131">
        <v>2004</v>
      </c>
      <c r="C131">
        <v>0</v>
      </c>
      <c r="D131">
        <f t="shared" si="2"/>
        <v>0</v>
      </c>
      <c r="E131">
        <v>771603</v>
      </c>
      <c r="F131">
        <v>55.6</v>
      </c>
      <c r="G131" s="2">
        <v>-0.34459418058395386</v>
      </c>
      <c r="H131">
        <v>11.6199998855591</v>
      </c>
      <c r="I131" t="s">
        <v>25</v>
      </c>
    </row>
    <row r="132" spans="1:9" x14ac:dyDescent="0.2">
      <c r="A132" t="s">
        <v>16</v>
      </c>
      <c r="B132">
        <v>2005</v>
      </c>
      <c r="C132">
        <v>0</v>
      </c>
      <c r="D132">
        <f t="shared" si="2"/>
        <v>0</v>
      </c>
      <c r="E132">
        <v>783254</v>
      </c>
      <c r="F132">
        <v>55.2</v>
      </c>
      <c r="G132" s="2">
        <v>-0.81331223249435425</v>
      </c>
      <c r="H132">
        <v>11.5200004577637</v>
      </c>
      <c r="I132" t="s">
        <v>25</v>
      </c>
    </row>
    <row r="133" spans="1:9" x14ac:dyDescent="0.2">
      <c r="A133" t="s">
        <v>16</v>
      </c>
      <c r="B133">
        <v>2006</v>
      </c>
      <c r="C133">
        <v>0</v>
      </c>
      <c r="D133">
        <f t="shared" si="2"/>
        <v>0</v>
      </c>
      <c r="E133">
        <v>794563</v>
      </c>
      <c r="F133">
        <v>53.2</v>
      </c>
      <c r="G133" s="2">
        <v>-0.25995951890945435</v>
      </c>
      <c r="H133">
        <v>11.3400001525879</v>
      </c>
      <c r="I133" t="s">
        <v>25</v>
      </c>
    </row>
    <row r="134" spans="1:9" x14ac:dyDescent="0.2">
      <c r="A134" t="s">
        <v>16</v>
      </c>
      <c r="B134">
        <v>2007</v>
      </c>
      <c r="C134">
        <v>0</v>
      </c>
      <c r="D134">
        <f t="shared" si="2"/>
        <v>0</v>
      </c>
      <c r="E134">
        <v>805451</v>
      </c>
      <c r="F134">
        <v>52.4</v>
      </c>
      <c r="G134" s="2">
        <v>-0.12219434231519699</v>
      </c>
      <c r="H134">
        <v>11.170000076293899</v>
      </c>
      <c r="I134" t="s">
        <v>25</v>
      </c>
    </row>
    <row r="135" spans="1:9" x14ac:dyDescent="0.2">
      <c r="A135" t="s">
        <v>16</v>
      </c>
      <c r="B135">
        <v>2008</v>
      </c>
      <c r="C135">
        <v>0</v>
      </c>
      <c r="D135">
        <f t="shared" si="2"/>
        <v>0</v>
      </c>
      <c r="E135">
        <v>816358</v>
      </c>
      <c r="F135">
        <v>51.2</v>
      </c>
      <c r="G135" s="2">
        <v>0.27049258351325989</v>
      </c>
      <c r="H135">
        <v>11.1000003814697</v>
      </c>
      <c r="I135" t="s">
        <v>25</v>
      </c>
    </row>
    <row r="136" spans="1:9" x14ac:dyDescent="0.2">
      <c r="A136" t="s">
        <v>16</v>
      </c>
      <c r="B136">
        <v>2009</v>
      </c>
      <c r="C136">
        <v>0</v>
      </c>
      <c r="D136">
        <f t="shared" si="2"/>
        <v>0</v>
      </c>
      <c r="E136">
        <v>827823</v>
      </c>
      <c r="F136">
        <v>51.3</v>
      </c>
      <c r="G136" s="2">
        <v>0.49394899606704712</v>
      </c>
      <c r="H136">
        <v>11.460000038146999</v>
      </c>
      <c r="I136" t="s">
        <v>25</v>
      </c>
    </row>
    <row r="137" spans="1:9" x14ac:dyDescent="0.2">
      <c r="A137" t="s">
        <v>16</v>
      </c>
      <c r="B137">
        <v>2010</v>
      </c>
      <c r="C137">
        <v>0</v>
      </c>
      <c r="D137">
        <f t="shared" si="2"/>
        <v>0</v>
      </c>
      <c r="E137">
        <v>840198</v>
      </c>
      <c r="F137">
        <v>51</v>
      </c>
      <c r="G137" s="2">
        <v>0.25348126888275146</v>
      </c>
      <c r="H137">
        <v>11.5200004577637</v>
      </c>
      <c r="I137" t="s">
        <v>25</v>
      </c>
    </row>
    <row r="138" spans="1:9" x14ac:dyDescent="0.2">
      <c r="A138" t="s">
        <v>16</v>
      </c>
      <c r="B138">
        <v>2011</v>
      </c>
      <c r="C138">
        <v>0</v>
      </c>
      <c r="D138">
        <f t="shared" si="2"/>
        <v>0</v>
      </c>
      <c r="E138">
        <v>853674</v>
      </c>
      <c r="F138">
        <v>54.5</v>
      </c>
      <c r="G138" s="2">
        <v>0.17770324647426605</v>
      </c>
      <c r="H138">
        <v>11.5100002288818</v>
      </c>
      <c r="I138" t="s">
        <v>25</v>
      </c>
    </row>
    <row r="139" spans="1:9" x14ac:dyDescent="0.2">
      <c r="A139" t="s">
        <v>16</v>
      </c>
      <c r="B139">
        <v>2012</v>
      </c>
      <c r="C139">
        <v>0</v>
      </c>
      <c r="D139">
        <f t="shared" si="2"/>
        <v>0</v>
      </c>
      <c r="E139">
        <v>868136</v>
      </c>
      <c r="F139">
        <v>53.9</v>
      </c>
      <c r="G139" s="2">
        <v>0.16061921417713165</v>
      </c>
      <c r="H139">
        <v>11.5200004577637</v>
      </c>
      <c r="I139" t="s">
        <v>25</v>
      </c>
    </row>
    <row r="140" spans="1:9" x14ac:dyDescent="0.2">
      <c r="A140" t="s">
        <v>16</v>
      </c>
      <c r="B140">
        <v>2013</v>
      </c>
      <c r="C140">
        <v>0</v>
      </c>
      <c r="D140">
        <f t="shared" si="2"/>
        <v>0</v>
      </c>
      <c r="E140">
        <v>883293</v>
      </c>
      <c r="F140">
        <v>53.9</v>
      </c>
      <c r="G140" s="2">
        <v>-0.10218752175569534</v>
      </c>
      <c r="H140">
        <v>11.539999961853001</v>
      </c>
      <c r="I140" t="s">
        <v>25</v>
      </c>
    </row>
    <row r="141" spans="1:9" x14ac:dyDescent="0.2">
      <c r="A141" t="s">
        <v>16</v>
      </c>
      <c r="B141">
        <v>2014</v>
      </c>
      <c r="C141">
        <v>0</v>
      </c>
      <c r="D141">
        <f t="shared" si="2"/>
        <v>0</v>
      </c>
      <c r="E141">
        <v>898696</v>
      </c>
      <c r="F141">
        <v>55.9</v>
      </c>
      <c r="G141" s="2">
        <v>-0.77023226022720337</v>
      </c>
      <c r="H141">
        <v>11.449999809265099</v>
      </c>
      <c r="I141" t="s">
        <v>25</v>
      </c>
    </row>
    <row r="142" spans="1:9" x14ac:dyDescent="0.2">
      <c r="A142" t="s">
        <v>16</v>
      </c>
      <c r="B142">
        <v>2015</v>
      </c>
      <c r="C142">
        <v>0</v>
      </c>
      <c r="D142">
        <f t="shared" si="2"/>
        <v>0</v>
      </c>
      <c r="E142">
        <v>913993</v>
      </c>
      <c r="F142">
        <v>57.5</v>
      </c>
      <c r="G142" s="2">
        <v>-0.4435315728187561</v>
      </c>
      <c r="H142">
        <v>11.3900003433228</v>
      </c>
      <c r="I142" t="s">
        <v>25</v>
      </c>
    </row>
    <row r="143" spans="1:9" x14ac:dyDescent="0.2">
      <c r="A143" t="s">
        <v>16</v>
      </c>
      <c r="B143">
        <v>2016</v>
      </c>
      <c r="C143">
        <v>0</v>
      </c>
      <c r="D143">
        <f t="shared" si="2"/>
        <v>0</v>
      </c>
      <c r="E143">
        <v>929112</v>
      </c>
      <c r="F143">
        <v>56</v>
      </c>
      <c r="G143" s="2">
        <v>-0.6264004111289978</v>
      </c>
      <c r="H143">
        <v>11.310000419616699</v>
      </c>
      <c r="I143" t="s">
        <v>25</v>
      </c>
    </row>
    <row r="144" spans="1:9" x14ac:dyDescent="0.2">
      <c r="A144" t="s">
        <v>16</v>
      </c>
      <c r="B144">
        <v>2017</v>
      </c>
      <c r="C144">
        <v>0</v>
      </c>
      <c r="D144">
        <f t="shared" si="2"/>
        <v>0</v>
      </c>
      <c r="E144">
        <v>944097</v>
      </c>
      <c r="F144">
        <v>46.7</v>
      </c>
      <c r="G144" s="2">
        <v>-0.73676103353500366</v>
      </c>
      <c r="H144">
        <v>11.180000305175801</v>
      </c>
      <c r="I144" t="s">
        <v>25</v>
      </c>
    </row>
    <row r="145" spans="1:9" x14ac:dyDescent="0.2">
      <c r="A145" t="s">
        <v>16</v>
      </c>
      <c r="B145">
        <v>2018</v>
      </c>
      <c r="C145">
        <v>0</v>
      </c>
      <c r="D145">
        <f t="shared" si="2"/>
        <v>0</v>
      </c>
      <c r="E145">
        <v>958920</v>
      </c>
      <c r="F145">
        <v>45.1</v>
      </c>
      <c r="G145" s="2">
        <v>-0.12907527387142181</v>
      </c>
      <c r="H145">
        <v>11.060000419616699</v>
      </c>
      <c r="I145" t="s">
        <v>25</v>
      </c>
    </row>
    <row r="146" spans="1:9" x14ac:dyDescent="0.2">
      <c r="A146" t="s">
        <v>16</v>
      </c>
      <c r="B146">
        <v>2019</v>
      </c>
      <c r="C146">
        <v>0</v>
      </c>
      <c r="D146">
        <f t="shared" si="2"/>
        <v>0</v>
      </c>
      <c r="E146">
        <v>973560</v>
      </c>
      <c r="F146">
        <v>47.1</v>
      </c>
      <c r="G146" s="2">
        <v>-0.34459272027015686</v>
      </c>
      <c r="H146">
        <v>10.9700002670288</v>
      </c>
      <c r="I146" t="s">
        <v>25</v>
      </c>
    </row>
    <row r="147" spans="1:9" x14ac:dyDescent="0.2">
      <c r="A147" t="s">
        <v>4</v>
      </c>
      <c r="B147">
        <v>1991</v>
      </c>
      <c r="C147">
        <v>0</v>
      </c>
      <c r="D147">
        <f t="shared" si="2"/>
        <v>0</v>
      </c>
      <c r="E147">
        <v>432853</v>
      </c>
      <c r="F147" t="s">
        <v>17</v>
      </c>
      <c r="G147" t="s">
        <v>17</v>
      </c>
      <c r="H147">
        <v>8.3000001907348597</v>
      </c>
      <c r="I147" t="s">
        <v>24</v>
      </c>
    </row>
    <row r="148" spans="1:9" x14ac:dyDescent="0.2">
      <c r="A148" t="s">
        <v>4</v>
      </c>
      <c r="B148">
        <v>1992</v>
      </c>
      <c r="C148">
        <v>0</v>
      </c>
      <c r="D148">
        <f t="shared" si="2"/>
        <v>0</v>
      </c>
      <c r="E148">
        <v>447266</v>
      </c>
      <c r="F148" t="s">
        <v>17</v>
      </c>
      <c r="G148" t="s">
        <v>17</v>
      </c>
      <c r="H148">
        <v>8.3800001144409197</v>
      </c>
      <c r="I148" t="s">
        <v>24</v>
      </c>
    </row>
    <row r="149" spans="1:9" x14ac:dyDescent="0.2">
      <c r="A149" t="s">
        <v>4</v>
      </c>
      <c r="B149">
        <v>1993</v>
      </c>
      <c r="C149">
        <v>0</v>
      </c>
      <c r="D149">
        <f t="shared" si="2"/>
        <v>0</v>
      </c>
      <c r="E149">
        <v>462637</v>
      </c>
      <c r="F149" t="s">
        <v>17</v>
      </c>
      <c r="G149" t="s">
        <v>17</v>
      </c>
      <c r="H149">
        <v>8.5</v>
      </c>
      <c r="I149" t="s">
        <v>24</v>
      </c>
    </row>
    <row r="150" spans="1:9" x14ac:dyDescent="0.2">
      <c r="A150" t="s">
        <v>4</v>
      </c>
      <c r="B150">
        <v>1994</v>
      </c>
      <c r="C150">
        <v>0</v>
      </c>
      <c r="D150">
        <f t="shared" si="2"/>
        <v>0</v>
      </c>
      <c r="E150">
        <v>479098</v>
      </c>
      <c r="F150" t="s">
        <v>17</v>
      </c>
      <c r="G150" t="s">
        <v>17</v>
      </c>
      <c r="H150">
        <v>8.5399999618530291</v>
      </c>
      <c r="I150" t="s">
        <v>24</v>
      </c>
    </row>
    <row r="151" spans="1:9" x14ac:dyDescent="0.2">
      <c r="A151" t="s">
        <v>4</v>
      </c>
      <c r="B151">
        <v>1995</v>
      </c>
      <c r="C151">
        <v>0</v>
      </c>
      <c r="D151">
        <f t="shared" si="2"/>
        <v>0</v>
      </c>
      <c r="E151">
        <v>496768</v>
      </c>
      <c r="F151" t="s">
        <v>17</v>
      </c>
      <c r="G151" t="s">
        <v>17</v>
      </c>
      <c r="H151">
        <v>8.5399999618530291</v>
      </c>
      <c r="I151" t="s">
        <v>24</v>
      </c>
    </row>
    <row r="152" spans="1:9" x14ac:dyDescent="0.2">
      <c r="A152" t="s">
        <v>4</v>
      </c>
      <c r="B152">
        <v>1996</v>
      </c>
      <c r="C152">
        <v>0</v>
      </c>
      <c r="D152">
        <f t="shared" si="2"/>
        <v>0</v>
      </c>
      <c r="E152">
        <v>515853</v>
      </c>
      <c r="F152" t="s">
        <v>17</v>
      </c>
      <c r="G152" s="2">
        <v>-0.13251316547393799</v>
      </c>
      <c r="H152">
        <v>8.5399999618530291</v>
      </c>
      <c r="I152" t="s">
        <v>24</v>
      </c>
    </row>
    <row r="153" spans="1:9" x14ac:dyDescent="0.2">
      <c r="A153" t="s">
        <v>4</v>
      </c>
      <c r="B153">
        <v>1997</v>
      </c>
      <c r="C153">
        <v>0</v>
      </c>
      <c r="D153">
        <f t="shared" si="2"/>
        <v>0</v>
      </c>
      <c r="E153">
        <v>536460</v>
      </c>
      <c r="F153" t="s">
        <v>17</v>
      </c>
      <c r="G153" t="s">
        <v>17</v>
      </c>
      <c r="H153">
        <v>8.5299997329711896</v>
      </c>
      <c r="I153" t="s">
        <v>24</v>
      </c>
    </row>
    <row r="154" spans="1:9" x14ac:dyDescent="0.2">
      <c r="A154" t="s">
        <v>4</v>
      </c>
      <c r="B154">
        <v>1998</v>
      </c>
      <c r="C154">
        <v>0</v>
      </c>
      <c r="D154">
        <f t="shared" si="2"/>
        <v>0</v>
      </c>
      <c r="E154">
        <v>558492</v>
      </c>
      <c r="F154" t="s">
        <v>17</v>
      </c>
      <c r="G154" s="2">
        <v>-8.0742865800857544E-2</v>
      </c>
      <c r="H154">
        <v>8.5299997329711896</v>
      </c>
      <c r="I154" t="s">
        <v>24</v>
      </c>
    </row>
    <row r="155" spans="1:9" x14ac:dyDescent="0.2">
      <c r="A155" t="s">
        <v>4</v>
      </c>
      <c r="B155">
        <v>1999</v>
      </c>
      <c r="C155">
        <v>0</v>
      </c>
      <c r="D155">
        <f t="shared" si="2"/>
        <v>0</v>
      </c>
      <c r="E155">
        <v>581770</v>
      </c>
      <c r="F155">
        <v>45.1</v>
      </c>
      <c r="G155" t="s">
        <v>17</v>
      </c>
      <c r="H155">
        <v>8.5699996948242205</v>
      </c>
      <c r="I155" t="s">
        <v>24</v>
      </c>
    </row>
    <row r="156" spans="1:9" x14ac:dyDescent="0.2">
      <c r="A156" t="s">
        <v>4</v>
      </c>
      <c r="B156">
        <v>2000</v>
      </c>
      <c r="C156">
        <v>0</v>
      </c>
      <c r="D156">
        <f t="shared" si="2"/>
        <v>0</v>
      </c>
      <c r="E156">
        <v>606181</v>
      </c>
      <c r="F156">
        <v>45.6</v>
      </c>
      <c r="G156" s="2">
        <v>-4.11415696144104E-2</v>
      </c>
      <c r="H156">
        <v>8.5399999618530291</v>
      </c>
      <c r="I156" t="s">
        <v>24</v>
      </c>
    </row>
    <row r="157" spans="1:9" x14ac:dyDescent="0.2">
      <c r="A157" t="s">
        <v>4</v>
      </c>
      <c r="B157">
        <v>2001</v>
      </c>
      <c r="C157">
        <v>0</v>
      </c>
      <c r="D157">
        <f t="shared" si="2"/>
        <v>0</v>
      </c>
      <c r="E157">
        <v>631666</v>
      </c>
      <c r="F157">
        <v>47.9</v>
      </c>
      <c r="G157" t="s">
        <v>17</v>
      </c>
      <c r="H157">
        <v>8.5200004577636701</v>
      </c>
      <c r="I157" t="s">
        <v>24</v>
      </c>
    </row>
    <row r="158" spans="1:9" x14ac:dyDescent="0.2">
      <c r="A158" t="s">
        <v>4</v>
      </c>
      <c r="B158">
        <v>2002</v>
      </c>
      <c r="C158">
        <v>0</v>
      </c>
      <c r="D158">
        <f t="shared" si="2"/>
        <v>0</v>
      </c>
      <c r="E158">
        <v>658384</v>
      </c>
      <c r="F158">
        <v>46.4</v>
      </c>
      <c r="G158" s="2">
        <v>-0.52228891849517822</v>
      </c>
      <c r="H158">
        <v>8.5699996948242205</v>
      </c>
      <c r="I158" t="s">
        <v>24</v>
      </c>
    </row>
    <row r="159" spans="1:9" x14ac:dyDescent="0.2">
      <c r="A159" t="s">
        <v>4</v>
      </c>
      <c r="B159">
        <v>2003</v>
      </c>
      <c r="C159">
        <v>0</v>
      </c>
      <c r="D159">
        <f t="shared" si="2"/>
        <v>0</v>
      </c>
      <c r="E159">
        <v>686664</v>
      </c>
      <c r="F159">
        <v>53.1</v>
      </c>
      <c r="G159" s="2">
        <v>0.11321895569562912</v>
      </c>
      <c r="H159">
        <v>8.5600004196166992</v>
      </c>
      <c r="I159" t="s">
        <v>24</v>
      </c>
    </row>
    <row r="160" spans="1:9" x14ac:dyDescent="0.2">
      <c r="A160" t="s">
        <v>4</v>
      </c>
      <c r="B160">
        <v>2004</v>
      </c>
      <c r="C160">
        <v>0</v>
      </c>
      <c r="D160">
        <f t="shared" si="2"/>
        <v>0</v>
      </c>
      <c r="E160">
        <v>716949</v>
      </c>
      <c r="F160">
        <v>53.3</v>
      </c>
      <c r="G160" s="2">
        <v>-6.1746224761009216E-2</v>
      </c>
      <c r="H160">
        <v>8.5100002288818395</v>
      </c>
      <c r="I160" t="s">
        <v>24</v>
      </c>
    </row>
    <row r="161" spans="1:9" x14ac:dyDescent="0.2">
      <c r="A161" t="s">
        <v>4</v>
      </c>
      <c r="B161">
        <v>2005</v>
      </c>
      <c r="C161">
        <v>0</v>
      </c>
      <c r="D161">
        <f t="shared" si="2"/>
        <v>0</v>
      </c>
      <c r="E161">
        <v>749535</v>
      </c>
      <c r="F161">
        <v>53.3</v>
      </c>
      <c r="G161" s="2">
        <v>-0.39276775717735291</v>
      </c>
      <c r="H161">
        <v>8.4200000762939506</v>
      </c>
      <c r="I161" t="s">
        <v>24</v>
      </c>
    </row>
    <row r="162" spans="1:9" x14ac:dyDescent="0.2">
      <c r="A162" t="s">
        <v>4</v>
      </c>
      <c r="B162">
        <v>2006</v>
      </c>
      <c r="C162">
        <v>0</v>
      </c>
      <c r="D162">
        <f t="shared" si="2"/>
        <v>0</v>
      </c>
      <c r="E162">
        <v>784496</v>
      </c>
      <c r="F162">
        <v>51.5</v>
      </c>
      <c r="G162" s="2">
        <v>0.16561253368854523</v>
      </c>
      <c r="H162">
        <v>8.2600002288818395</v>
      </c>
      <c r="I162" t="s">
        <v>24</v>
      </c>
    </row>
    <row r="163" spans="1:9" x14ac:dyDescent="0.2">
      <c r="A163" t="s">
        <v>4</v>
      </c>
      <c r="B163">
        <v>2007</v>
      </c>
      <c r="C163">
        <v>0</v>
      </c>
      <c r="D163">
        <f t="shared" si="2"/>
        <v>0</v>
      </c>
      <c r="E163">
        <v>821687</v>
      </c>
      <c r="F163">
        <v>53.2</v>
      </c>
      <c r="G163" s="2">
        <v>0.25595781207084656</v>
      </c>
      <c r="H163">
        <v>8.1199998855590803</v>
      </c>
      <c r="I163" t="s">
        <v>24</v>
      </c>
    </row>
    <row r="164" spans="1:9" x14ac:dyDescent="0.2">
      <c r="A164" t="s">
        <v>4</v>
      </c>
      <c r="B164">
        <v>2008</v>
      </c>
      <c r="C164">
        <v>0</v>
      </c>
      <c r="D164">
        <f t="shared" si="2"/>
        <v>0</v>
      </c>
      <c r="E164">
        <v>860840</v>
      </c>
      <c r="F164">
        <v>51.6</v>
      </c>
      <c r="G164" s="2">
        <v>0.20423801243305206</v>
      </c>
      <c r="H164">
        <v>8.0600004196166992</v>
      </c>
      <c r="I164" t="s">
        <v>24</v>
      </c>
    </row>
    <row r="165" spans="1:9" x14ac:dyDescent="0.2">
      <c r="A165" t="s">
        <v>4</v>
      </c>
      <c r="B165">
        <v>2009</v>
      </c>
      <c r="C165">
        <v>0</v>
      </c>
      <c r="D165">
        <f t="shared" si="2"/>
        <v>0</v>
      </c>
      <c r="E165">
        <v>901599</v>
      </c>
      <c r="F165">
        <v>51.3</v>
      </c>
      <c r="G165" s="2">
        <v>0.37325558066368103</v>
      </c>
      <c r="H165">
        <v>8.3699998855590803</v>
      </c>
      <c r="I165" t="s">
        <v>24</v>
      </c>
    </row>
    <row r="166" spans="1:9" x14ac:dyDescent="0.2">
      <c r="A166" t="s">
        <v>4</v>
      </c>
      <c r="B166">
        <v>2010</v>
      </c>
      <c r="C166">
        <v>0</v>
      </c>
      <c r="D166">
        <f t="shared" si="2"/>
        <v>0</v>
      </c>
      <c r="E166">
        <v>943639</v>
      </c>
      <c r="F166">
        <v>48.6</v>
      </c>
      <c r="G166" s="2">
        <v>0.23612822592258453</v>
      </c>
      <c r="H166">
        <v>8.4200000762939506</v>
      </c>
      <c r="I166" t="s">
        <v>24</v>
      </c>
    </row>
    <row r="167" spans="1:9" x14ac:dyDescent="0.2">
      <c r="A167" t="s">
        <v>4</v>
      </c>
      <c r="B167">
        <v>2011</v>
      </c>
      <c r="C167">
        <v>0</v>
      </c>
      <c r="D167">
        <f t="shared" si="2"/>
        <v>0</v>
      </c>
      <c r="E167">
        <v>986853</v>
      </c>
      <c r="F167">
        <v>47.5</v>
      </c>
      <c r="G167" s="2">
        <v>0.15034380555152893</v>
      </c>
      <c r="H167">
        <v>8.4200000762939506</v>
      </c>
      <c r="I167" t="s">
        <v>24</v>
      </c>
    </row>
    <row r="168" spans="1:9" x14ac:dyDescent="0.2">
      <c r="A168" t="s">
        <v>4</v>
      </c>
      <c r="B168">
        <v>2012</v>
      </c>
      <c r="C168">
        <v>0</v>
      </c>
      <c r="D168">
        <f t="shared" si="2"/>
        <v>0</v>
      </c>
      <c r="E168">
        <v>1031191</v>
      </c>
      <c r="F168">
        <v>42.8</v>
      </c>
      <c r="G168" s="2">
        <v>0.23270344734191895</v>
      </c>
      <c r="H168">
        <v>8.4300003051757795</v>
      </c>
      <c r="I168" t="s">
        <v>24</v>
      </c>
    </row>
    <row r="169" spans="1:9" x14ac:dyDescent="0.2">
      <c r="A169" t="s">
        <v>4</v>
      </c>
      <c r="B169">
        <v>2013</v>
      </c>
      <c r="C169">
        <v>0</v>
      </c>
      <c r="D169">
        <f t="shared" si="2"/>
        <v>0</v>
      </c>
      <c r="E169">
        <v>1076413</v>
      </c>
      <c r="F169">
        <v>42.3</v>
      </c>
      <c r="G169" s="2">
        <v>0.12035518139600754</v>
      </c>
      <c r="H169">
        <v>8.4399995803833008</v>
      </c>
      <c r="I169" t="s">
        <v>24</v>
      </c>
    </row>
    <row r="170" spans="1:9" x14ac:dyDescent="0.2">
      <c r="A170" t="s">
        <v>4</v>
      </c>
      <c r="B170">
        <v>2014</v>
      </c>
      <c r="C170">
        <v>0</v>
      </c>
      <c r="D170">
        <f t="shared" si="2"/>
        <v>0</v>
      </c>
      <c r="E170">
        <v>1122276</v>
      </c>
      <c r="F170">
        <v>44.4</v>
      </c>
      <c r="G170" s="2">
        <v>-0.37414655089378357</v>
      </c>
      <c r="H170">
        <v>8.3599996566772496</v>
      </c>
      <c r="I170" t="s">
        <v>24</v>
      </c>
    </row>
    <row r="171" spans="1:9" x14ac:dyDescent="0.2">
      <c r="A171" t="s">
        <v>4</v>
      </c>
      <c r="B171">
        <v>2015</v>
      </c>
      <c r="C171">
        <v>0</v>
      </c>
      <c r="D171">
        <f t="shared" si="2"/>
        <v>0</v>
      </c>
      <c r="E171">
        <v>1168568</v>
      </c>
      <c r="F171">
        <v>40.4</v>
      </c>
      <c r="G171" s="2">
        <v>-0.20535242557525635</v>
      </c>
      <c r="H171">
        <v>8.3100004196166992</v>
      </c>
      <c r="I171" t="s">
        <v>24</v>
      </c>
    </row>
    <row r="172" spans="1:9" x14ac:dyDescent="0.2">
      <c r="A172" t="s">
        <v>4</v>
      </c>
      <c r="B172">
        <v>2016</v>
      </c>
      <c r="C172">
        <v>0</v>
      </c>
      <c r="D172">
        <f t="shared" si="2"/>
        <v>0</v>
      </c>
      <c r="E172">
        <v>1215179</v>
      </c>
      <c r="F172">
        <v>43.7</v>
      </c>
      <c r="G172" s="2">
        <v>-0.14086863398551941</v>
      </c>
      <c r="H172">
        <v>8.2399997711181605</v>
      </c>
      <c r="I172" t="s">
        <v>24</v>
      </c>
    </row>
    <row r="173" spans="1:9" x14ac:dyDescent="0.2">
      <c r="A173" t="s">
        <v>4</v>
      </c>
      <c r="B173">
        <v>2017</v>
      </c>
      <c r="C173">
        <v>0</v>
      </c>
      <c r="D173">
        <f t="shared" si="2"/>
        <v>0</v>
      </c>
      <c r="E173">
        <v>1262001</v>
      </c>
      <c r="F173">
        <v>45</v>
      </c>
      <c r="G173" s="2">
        <v>-0.17045895755290985</v>
      </c>
      <c r="H173">
        <v>8.1300001144409197</v>
      </c>
      <c r="I173" t="s">
        <v>24</v>
      </c>
    </row>
    <row r="174" spans="1:9" x14ac:dyDescent="0.2">
      <c r="A174" t="s">
        <v>4</v>
      </c>
      <c r="B174">
        <v>2018</v>
      </c>
      <c r="C174">
        <v>0</v>
      </c>
      <c r="D174">
        <f t="shared" si="2"/>
        <v>0</v>
      </c>
      <c r="E174">
        <v>1308974</v>
      </c>
      <c r="F174">
        <v>42</v>
      </c>
      <c r="G174" s="2">
        <v>-8.3903849124908447E-2</v>
      </c>
      <c r="H174">
        <v>8.0299997329711896</v>
      </c>
      <c r="I174" t="s">
        <v>24</v>
      </c>
    </row>
    <row r="175" spans="1:9" x14ac:dyDescent="0.2">
      <c r="A175" t="s">
        <v>4</v>
      </c>
      <c r="B175">
        <v>2019</v>
      </c>
      <c r="C175">
        <v>0</v>
      </c>
      <c r="D175">
        <f t="shared" si="2"/>
        <v>0</v>
      </c>
      <c r="E175">
        <v>1355986</v>
      </c>
      <c r="F175">
        <v>41</v>
      </c>
      <c r="G175" s="2">
        <v>-0.19092559814453125</v>
      </c>
      <c r="H175">
        <v>7.9499998092651403</v>
      </c>
      <c r="I175" t="s">
        <v>24</v>
      </c>
    </row>
    <row r="176" spans="1:9" x14ac:dyDescent="0.2">
      <c r="A176" t="s">
        <v>5</v>
      </c>
      <c r="B176">
        <v>1991</v>
      </c>
      <c r="C176">
        <v>0</v>
      </c>
      <c r="D176">
        <f t="shared" si="2"/>
        <v>0</v>
      </c>
      <c r="E176">
        <v>975783</v>
      </c>
      <c r="F176" t="s">
        <v>17</v>
      </c>
      <c r="G176" t="s">
        <v>17</v>
      </c>
      <c r="H176">
        <v>17.5100002288818</v>
      </c>
      <c r="I176" t="s">
        <v>24</v>
      </c>
    </row>
    <row r="177" spans="1:9" x14ac:dyDescent="0.2">
      <c r="A177" t="s">
        <v>5</v>
      </c>
      <c r="B177">
        <v>1992</v>
      </c>
      <c r="C177">
        <v>0</v>
      </c>
      <c r="D177">
        <f t="shared" si="2"/>
        <v>0</v>
      </c>
      <c r="E177">
        <v>1002579</v>
      </c>
      <c r="F177" t="s">
        <v>17</v>
      </c>
      <c r="G177" t="s">
        <v>17</v>
      </c>
      <c r="H177">
        <v>17.610000610351602</v>
      </c>
      <c r="I177" t="s">
        <v>24</v>
      </c>
    </row>
    <row r="178" spans="1:9" x14ac:dyDescent="0.2">
      <c r="A178" t="s">
        <v>5</v>
      </c>
      <c r="B178">
        <v>1993</v>
      </c>
      <c r="C178">
        <v>0</v>
      </c>
      <c r="D178">
        <f t="shared" si="2"/>
        <v>0</v>
      </c>
      <c r="E178">
        <v>1029778</v>
      </c>
      <c r="F178" t="s">
        <v>17</v>
      </c>
      <c r="G178" t="s">
        <v>17</v>
      </c>
      <c r="H178">
        <v>17.780000686645501</v>
      </c>
      <c r="I178" t="s">
        <v>24</v>
      </c>
    </row>
    <row r="179" spans="1:9" x14ac:dyDescent="0.2">
      <c r="A179" t="s">
        <v>5</v>
      </c>
      <c r="B179">
        <v>1994</v>
      </c>
      <c r="C179">
        <v>0</v>
      </c>
      <c r="D179">
        <f t="shared" si="2"/>
        <v>0</v>
      </c>
      <c r="E179">
        <v>1057255</v>
      </c>
      <c r="F179" t="s">
        <v>17</v>
      </c>
      <c r="G179" t="s">
        <v>17</v>
      </c>
      <c r="H179">
        <v>17.7700004577637</v>
      </c>
      <c r="I179" t="s">
        <v>24</v>
      </c>
    </row>
    <row r="180" spans="1:9" x14ac:dyDescent="0.2">
      <c r="A180" t="s">
        <v>5</v>
      </c>
      <c r="B180">
        <v>1995</v>
      </c>
      <c r="C180">
        <v>0</v>
      </c>
      <c r="D180">
        <f t="shared" si="2"/>
        <v>0</v>
      </c>
      <c r="E180">
        <v>1084946</v>
      </c>
      <c r="F180">
        <v>57.5</v>
      </c>
      <c r="G180" t="s">
        <v>17</v>
      </c>
      <c r="H180">
        <v>17.700000762939499</v>
      </c>
      <c r="I180" t="s">
        <v>24</v>
      </c>
    </row>
    <row r="181" spans="1:9" x14ac:dyDescent="0.2">
      <c r="A181" t="s">
        <v>5</v>
      </c>
      <c r="B181">
        <v>1996</v>
      </c>
      <c r="C181">
        <v>0</v>
      </c>
      <c r="D181">
        <f t="shared" ref="D181:D240" si="3">(C181/E181)*1000</f>
        <v>0</v>
      </c>
      <c r="E181">
        <v>1112955</v>
      </c>
      <c r="F181">
        <v>55.7</v>
      </c>
      <c r="G181" s="2">
        <v>0.12364348024129899</v>
      </c>
      <c r="H181">
        <v>17.639999389648398</v>
      </c>
      <c r="I181" t="s">
        <v>24</v>
      </c>
    </row>
    <row r="182" spans="1:9" x14ac:dyDescent="0.2">
      <c r="A182" t="s">
        <v>5</v>
      </c>
      <c r="B182">
        <v>1997</v>
      </c>
      <c r="C182">
        <v>0</v>
      </c>
      <c r="D182">
        <f t="shared" si="3"/>
        <v>0</v>
      </c>
      <c r="E182">
        <v>1141338</v>
      </c>
      <c r="F182">
        <v>58.8</v>
      </c>
      <c r="G182" t="s">
        <v>17</v>
      </c>
      <c r="H182">
        <v>17.559999465942401</v>
      </c>
      <c r="I182" t="s">
        <v>24</v>
      </c>
    </row>
    <row r="183" spans="1:9" x14ac:dyDescent="0.2">
      <c r="A183" t="s">
        <v>5</v>
      </c>
      <c r="B183">
        <v>1998</v>
      </c>
      <c r="C183">
        <v>0</v>
      </c>
      <c r="D183">
        <f t="shared" si="3"/>
        <v>0</v>
      </c>
      <c r="E183">
        <v>1170061</v>
      </c>
      <c r="F183">
        <v>59.2</v>
      </c>
      <c r="G183" s="2">
        <v>0.32418528199195862</v>
      </c>
      <c r="H183">
        <v>17.4899997711182</v>
      </c>
      <c r="I183" t="s">
        <v>24</v>
      </c>
    </row>
    <row r="184" spans="1:9" x14ac:dyDescent="0.2">
      <c r="A184" t="s">
        <v>5</v>
      </c>
      <c r="B184">
        <v>1999</v>
      </c>
      <c r="C184">
        <v>0</v>
      </c>
      <c r="D184">
        <f t="shared" si="3"/>
        <v>0</v>
      </c>
      <c r="E184">
        <v>1199052</v>
      </c>
      <c r="F184">
        <v>60.5</v>
      </c>
      <c r="G184" t="s">
        <v>17</v>
      </c>
      <c r="H184">
        <v>17.4899997711182</v>
      </c>
      <c r="I184" t="s">
        <v>24</v>
      </c>
    </row>
    <row r="185" spans="1:9" x14ac:dyDescent="0.2">
      <c r="A185" t="s">
        <v>5</v>
      </c>
      <c r="B185">
        <v>2000</v>
      </c>
      <c r="C185">
        <v>0</v>
      </c>
      <c r="D185">
        <f t="shared" si="3"/>
        <v>0</v>
      </c>
      <c r="E185">
        <v>1228360</v>
      </c>
      <c r="F185">
        <v>58.2</v>
      </c>
      <c r="G185" s="2">
        <v>0.63652169704437256</v>
      </c>
      <c r="H185">
        <v>17.389999389648398</v>
      </c>
      <c r="I185" t="s">
        <v>24</v>
      </c>
    </row>
    <row r="186" spans="1:9" x14ac:dyDescent="0.2">
      <c r="A186" t="s">
        <v>5</v>
      </c>
      <c r="B186">
        <v>2001</v>
      </c>
      <c r="C186">
        <v>0</v>
      </c>
      <c r="D186">
        <f t="shared" si="3"/>
        <v>0</v>
      </c>
      <c r="E186">
        <v>1258003</v>
      </c>
      <c r="F186">
        <v>55</v>
      </c>
      <c r="G186" t="s">
        <v>17</v>
      </c>
      <c r="H186">
        <v>17.290000915527301</v>
      </c>
      <c r="I186" t="s">
        <v>24</v>
      </c>
    </row>
    <row r="187" spans="1:9" x14ac:dyDescent="0.2">
      <c r="A187" t="s">
        <v>5</v>
      </c>
      <c r="B187">
        <v>2002</v>
      </c>
      <c r="C187">
        <v>0</v>
      </c>
      <c r="D187">
        <f t="shared" si="3"/>
        <v>0</v>
      </c>
      <c r="E187">
        <v>1288315</v>
      </c>
      <c r="F187">
        <v>58</v>
      </c>
      <c r="G187" s="2">
        <v>0.40579816699028015</v>
      </c>
      <c r="H187">
        <v>17.290000915527301</v>
      </c>
      <c r="I187" t="s">
        <v>24</v>
      </c>
    </row>
    <row r="188" spans="1:9" x14ac:dyDescent="0.2">
      <c r="A188" t="s">
        <v>5</v>
      </c>
      <c r="B188">
        <v>2003</v>
      </c>
      <c r="C188">
        <v>0</v>
      </c>
      <c r="D188">
        <f t="shared" si="3"/>
        <v>0</v>
      </c>
      <c r="E188">
        <v>1319953</v>
      </c>
      <c r="F188">
        <v>58.7</v>
      </c>
      <c r="G188" s="2">
        <v>0.2988831102848053</v>
      </c>
      <c r="H188">
        <v>17.219999313354499</v>
      </c>
      <c r="I188" t="s">
        <v>24</v>
      </c>
    </row>
    <row r="189" spans="1:9" x14ac:dyDescent="0.2">
      <c r="A189" t="s">
        <v>5</v>
      </c>
      <c r="B189">
        <v>2004</v>
      </c>
      <c r="C189">
        <v>0</v>
      </c>
      <c r="D189">
        <f t="shared" si="3"/>
        <v>0</v>
      </c>
      <c r="E189">
        <v>1353795</v>
      </c>
      <c r="F189">
        <v>57.1</v>
      </c>
      <c r="G189" s="2">
        <v>0.407774418592453</v>
      </c>
      <c r="H189">
        <v>17.079999923706101</v>
      </c>
      <c r="I189" t="s">
        <v>24</v>
      </c>
    </row>
    <row r="190" spans="1:9" x14ac:dyDescent="0.2">
      <c r="A190" t="s">
        <v>5</v>
      </c>
      <c r="B190">
        <v>2005</v>
      </c>
      <c r="C190">
        <v>0</v>
      </c>
      <c r="D190">
        <f t="shared" si="3"/>
        <v>0</v>
      </c>
      <c r="E190">
        <v>1390549</v>
      </c>
      <c r="F190">
        <v>54.8</v>
      </c>
      <c r="G190" s="2">
        <v>0.32600876688957214</v>
      </c>
      <c r="H190">
        <v>16.909999847412099</v>
      </c>
      <c r="I190" t="s">
        <v>24</v>
      </c>
    </row>
    <row r="191" spans="1:9" x14ac:dyDescent="0.2">
      <c r="A191" t="s">
        <v>5</v>
      </c>
      <c r="B191">
        <v>2006</v>
      </c>
      <c r="C191">
        <v>0</v>
      </c>
      <c r="D191">
        <f t="shared" si="3"/>
        <v>0</v>
      </c>
      <c r="E191">
        <v>1430152</v>
      </c>
      <c r="F191">
        <v>56.1</v>
      </c>
      <c r="G191" s="2">
        <v>0.22014510631561279</v>
      </c>
      <c r="H191">
        <v>17.370000839233398</v>
      </c>
      <c r="I191" t="s">
        <v>24</v>
      </c>
    </row>
    <row r="192" spans="1:9" x14ac:dyDescent="0.2">
      <c r="A192" t="s">
        <v>5</v>
      </c>
      <c r="B192">
        <v>2007</v>
      </c>
      <c r="C192">
        <v>0</v>
      </c>
      <c r="D192">
        <f t="shared" si="3"/>
        <v>0</v>
      </c>
      <c r="E192">
        <v>1472575</v>
      </c>
      <c r="F192">
        <v>54.8</v>
      </c>
      <c r="G192" s="2">
        <v>0.30330166220664978</v>
      </c>
      <c r="H192">
        <v>17.840000152587901</v>
      </c>
      <c r="I192" t="s">
        <v>24</v>
      </c>
    </row>
    <row r="193" spans="1:9" x14ac:dyDescent="0.2">
      <c r="A193" t="s">
        <v>5</v>
      </c>
      <c r="B193">
        <v>2008</v>
      </c>
      <c r="C193">
        <v>0</v>
      </c>
      <c r="D193">
        <f t="shared" si="3"/>
        <v>0</v>
      </c>
      <c r="E193">
        <v>1518540</v>
      </c>
      <c r="F193">
        <v>54.2</v>
      </c>
      <c r="G193" s="2">
        <v>0.26365289092063904</v>
      </c>
      <c r="H193">
        <v>18.440000534057599</v>
      </c>
      <c r="I193" t="s">
        <v>24</v>
      </c>
    </row>
    <row r="194" spans="1:9" x14ac:dyDescent="0.2">
      <c r="A194" t="s">
        <v>5</v>
      </c>
      <c r="B194">
        <v>2009</v>
      </c>
      <c r="C194">
        <v>0</v>
      </c>
      <c r="D194">
        <f t="shared" si="3"/>
        <v>0</v>
      </c>
      <c r="E194">
        <v>1568928</v>
      </c>
      <c r="F194">
        <v>55</v>
      </c>
      <c r="G194" s="2">
        <v>0.141696497797966</v>
      </c>
      <c r="H194">
        <v>19.590000152587901</v>
      </c>
      <c r="I194" t="s">
        <v>24</v>
      </c>
    </row>
    <row r="195" spans="1:9" x14ac:dyDescent="0.2">
      <c r="A195" t="s">
        <v>5</v>
      </c>
      <c r="B195">
        <v>2010</v>
      </c>
      <c r="C195">
        <v>0</v>
      </c>
      <c r="D195">
        <f t="shared" si="3"/>
        <v>0</v>
      </c>
      <c r="E195">
        <v>1624140</v>
      </c>
      <c r="F195">
        <v>55.4</v>
      </c>
      <c r="G195" s="2">
        <v>0.29927924275398254</v>
      </c>
      <c r="H195">
        <v>20.389999389648398</v>
      </c>
      <c r="I195" t="s">
        <v>24</v>
      </c>
    </row>
    <row r="196" spans="1:9" x14ac:dyDescent="0.2">
      <c r="A196" t="s">
        <v>5</v>
      </c>
      <c r="B196">
        <v>2011</v>
      </c>
      <c r="C196">
        <v>0</v>
      </c>
      <c r="D196">
        <f t="shared" si="3"/>
        <v>0</v>
      </c>
      <c r="E196">
        <v>1684635</v>
      </c>
      <c r="F196">
        <v>56.7</v>
      </c>
      <c r="G196" s="2">
        <v>0.38489091396331787</v>
      </c>
      <c r="H196">
        <v>20.379999160766602</v>
      </c>
      <c r="I196" t="s">
        <v>24</v>
      </c>
    </row>
    <row r="197" spans="1:9" x14ac:dyDescent="0.2">
      <c r="A197" t="s">
        <v>5</v>
      </c>
      <c r="B197">
        <v>2012</v>
      </c>
      <c r="C197">
        <v>0</v>
      </c>
      <c r="D197">
        <f t="shared" si="3"/>
        <v>0</v>
      </c>
      <c r="E197">
        <v>1749682</v>
      </c>
      <c r="F197">
        <v>56.4</v>
      </c>
      <c r="G197" s="2">
        <v>0.29329141974449158</v>
      </c>
      <c r="H197">
        <v>20.399999618530298</v>
      </c>
      <c r="I197" t="s">
        <v>24</v>
      </c>
    </row>
    <row r="198" spans="1:9" x14ac:dyDescent="0.2">
      <c r="A198" t="s">
        <v>5</v>
      </c>
      <c r="B198">
        <v>2013</v>
      </c>
      <c r="C198">
        <v>0</v>
      </c>
      <c r="D198">
        <f t="shared" si="3"/>
        <v>0</v>
      </c>
      <c r="E198">
        <v>1817071</v>
      </c>
      <c r="F198">
        <v>57.8</v>
      </c>
      <c r="G198" s="2">
        <v>0.33010274171829224</v>
      </c>
      <c r="H198">
        <v>20.409999847412099</v>
      </c>
      <c r="I198" t="s">
        <v>24</v>
      </c>
    </row>
    <row r="199" spans="1:9" x14ac:dyDescent="0.2">
      <c r="A199" t="s">
        <v>5</v>
      </c>
      <c r="B199">
        <v>2014</v>
      </c>
      <c r="C199">
        <v>0</v>
      </c>
      <c r="D199">
        <f t="shared" si="3"/>
        <v>0</v>
      </c>
      <c r="E199">
        <v>1883800</v>
      </c>
      <c r="F199">
        <v>57.8</v>
      </c>
      <c r="G199" s="2">
        <v>0.14954280853271484</v>
      </c>
      <c r="H199">
        <v>20.299999237060501</v>
      </c>
      <c r="I199" t="s">
        <v>24</v>
      </c>
    </row>
    <row r="200" spans="1:9" x14ac:dyDescent="0.2">
      <c r="A200" t="s">
        <v>5</v>
      </c>
      <c r="B200">
        <v>2015</v>
      </c>
      <c r="C200">
        <v>0</v>
      </c>
      <c r="D200">
        <f t="shared" si="3"/>
        <v>0</v>
      </c>
      <c r="E200">
        <v>1947686</v>
      </c>
      <c r="F200">
        <v>58.3</v>
      </c>
      <c r="G200" s="2">
        <v>2.1186958998441696E-2</v>
      </c>
      <c r="H200">
        <v>20.219999313354499</v>
      </c>
      <c r="I200" t="s">
        <v>24</v>
      </c>
    </row>
    <row r="201" spans="1:9" x14ac:dyDescent="0.2">
      <c r="A201" t="s">
        <v>5</v>
      </c>
      <c r="B201">
        <v>2016</v>
      </c>
      <c r="C201">
        <v>0</v>
      </c>
      <c r="D201">
        <f t="shared" si="3"/>
        <v>0</v>
      </c>
      <c r="E201">
        <v>2007873</v>
      </c>
      <c r="F201">
        <v>59</v>
      </c>
      <c r="G201" s="2">
        <v>-0.10491097718477249</v>
      </c>
      <c r="H201">
        <v>20.110000610351602</v>
      </c>
      <c r="I201" t="s">
        <v>24</v>
      </c>
    </row>
    <row r="202" spans="1:9" x14ac:dyDescent="0.2">
      <c r="A202" t="s">
        <v>5</v>
      </c>
      <c r="B202">
        <v>2017</v>
      </c>
      <c r="C202">
        <v>0</v>
      </c>
      <c r="D202">
        <f t="shared" si="3"/>
        <v>0</v>
      </c>
      <c r="E202">
        <v>2064823</v>
      </c>
      <c r="F202">
        <v>58.6</v>
      </c>
      <c r="G202" s="2">
        <v>-0.10304296761751175</v>
      </c>
      <c r="H202">
        <v>19.930000305175799</v>
      </c>
      <c r="I202" t="s">
        <v>24</v>
      </c>
    </row>
    <row r="203" spans="1:9" x14ac:dyDescent="0.2">
      <c r="A203" t="s">
        <v>5</v>
      </c>
      <c r="B203">
        <v>2018</v>
      </c>
      <c r="C203">
        <v>0</v>
      </c>
      <c r="D203">
        <f t="shared" si="3"/>
        <v>0</v>
      </c>
      <c r="E203">
        <v>2119275</v>
      </c>
      <c r="F203">
        <v>58</v>
      </c>
      <c r="G203" s="2">
        <v>-0.24509994685649872</v>
      </c>
      <c r="H203">
        <v>19.7700004577637</v>
      </c>
      <c r="I203" t="s">
        <v>24</v>
      </c>
    </row>
    <row r="204" spans="1:9" x14ac:dyDescent="0.2">
      <c r="A204" t="s">
        <v>5</v>
      </c>
      <c r="B204">
        <v>2019</v>
      </c>
      <c r="C204">
        <v>0</v>
      </c>
      <c r="D204">
        <f t="shared" si="3"/>
        <v>0</v>
      </c>
      <c r="E204">
        <v>2172579</v>
      </c>
      <c r="F204">
        <v>56.3</v>
      </c>
      <c r="G204" s="2">
        <v>-0.17820948362350464</v>
      </c>
      <c r="H204">
        <v>19.639999389648398</v>
      </c>
      <c r="I204" t="s">
        <v>24</v>
      </c>
    </row>
    <row r="205" spans="1:9" x14ac:dyDescent="0.2">
      <c r="A205" t="s">
        <v>12</v>
      </c>
      <c r="B205">
        <v>1991</v>
      </c>
      <c r="C205">
        <v>0</v>
      </c>
      <c r="D205">
        <f t="shared" si="3"/>
        <v>0</v>
      </c>
      <c r="E205">
        <v>15207367</v>
      </c>
      <c r="F205" t="s">
        <v>17</v>
      </c>
      <c r="G205" t="s">
        <v>17</v>
      </c>
      <c r="H205">
        <v>4.6599998474121103</v>
      </c>
      <c r="I205" t="s">
        <v>24</v>
      </c>
    </row>
    <row r="206" spans="1:9" x14ac:dyDescent="0.2">
      <c r="A206" t="s">
        <v>12</v>
      </c>
      <c r="B206">
        <v>1992</v>
      </c>
      <c r="C206">
        <v>0</v>
      </c>
      <c r="D206">
        <f t="shared" si="3"/>
        <v>0</v>
      </c>
      <c r="E206">
        <v>15653336</v>
      </c>
      <c r="F206" t="s">
        <v>17</v>
      </c>
      <c r="G206" t="s">
        <v>17</v>
      </c>
      <c r="H206">
        <v>4.6999998092651403</v>
      </c>
      <c r="I206" t="s">
        <v>24</v>
      </c>
    </row>
    <row r="207" spans="1:9" x14ac:dyDescent="0.2">
      <c r="A207" t="s">
        <v>12</v>
      </c>
      <c r="B207">
        <v>1993</v>
      </c>
      <c r="C207">
        <v>0</v>
      </c>
      <c r="D207">
        <f t="shared" si="3"/>
        <v>0</v>
      </c>
      <c r="E207">
        <v>16106765</v>
      </c>
      <c r="F207" t="s">
        <v>17</v>
      </c>
      <c r="G207" t="s">
        <v>17</v>
      </c>
      <c r="H207">
        <v>5.2800002098083496</v>
      </c>
      <c r="I207" t="s">
        <v>24</v>
      </c>
    </row>
    <row r="208" spans="1:9" x14ac:dyDescent="0.2">
      <c r="A208" t="s">
        <v>12</v>
      </c>
      <c r="B208">
        <v>1994</v>
      </c>
      <c r="C208">
        <v>0</v>
      </c>
      <c r="D208">
        <f t="shared" si="3"/>
        <v>0</v>
      </c>
      <c r="E208">
        <v>16561674</v>
      </c>
      <c r="F208" t="s">
        <v>17</v>
      </c>
      <c r="G208" t="s">
        <v>17</v>
      </c>
      <c r="H208">
        <v>5.8400001525878897</v>
      </c>
      <c r="I208" t="s">
        <v>24</v>
      </c>
    </row>
    <row r="209" spans="1:9" x14ac:dyDescent="0.2">
      <c r="A209" t="s">
        <v>12</v>
      </c>
      <c r="B209">
        <v>1995</v>
      </c>
      <c r="C209">
        <v>0</v>
      </c>
      <c r="D209">
        <f t="shared" si="3"/>
        <v>0</v>
      </c>
      <c r="E209">
        <v>17014057</v>
      </c>
      <c r="F209">
        <v>55.6</v>
      </c>
      <c r="G209" t="s">
        <v>17</v>
      </c>
      <c r="H209">
        <v>6.3899998664856001</v>
      </c>
      <c r="I209" t="s">
        <v>24</v>
      </c>
    </row>
    <row r="210" spans="1:9" x14ac:dyDescent="0.2">
      <c r="A210" t="s">
        <v>12</v>
      </c>
      <c r="B210">
        <v>1996</v>
      </c>
      <c r="C210">
        <v>0</v>
      </c>
      <c r="D210">
        <f t="shared" si="3"/>
        <v>0</v>
      </c>
      <c r="E210">
        <v>17462496</v>
      </c>
      <c r="F210">
        <v>57.7</v>
      </c>
      <c r="G210" s="2">
        <v>-0.23309861123561859</v>
      </c>
      <c r="H210">
        <v>6.9699997901916504</v>
      </c>
      <c r="I210" t="s">
        <v>24</v>
      </c>
    </row>
    <row r="211" spans="1:9" x14ac:dyDescent="0.2">
      <c r="A211" t="s">
        <v>12</v>
      </c>
      <c r="B211">
        <v>1997</v>
      </c>
      <c r="C211">
        <v>0</v>
      </c>
      <c r="D211">
        <f t="shared" si="3"/>
        <v>0</v>
      </c>
      <c r="E211">
        <v>17908985</v>
      </c>
      <c r="F211">
        <v>56.7</v>
      </c>
      <c r="G211" t="s">
        <v>17</v>
      </c>
      <c r="H211">
        <v>7.5700001716613796</v>
      </c>
      <c r="I211" t="s">
        <v>24</v>
      </c>
    </row>
    <row r="212" spans="1:9" x14ac:dyDescent="0.2">
      <c r="A212" t="s">
        <v>12</v>
      </c>
      <c r="B212">
        <v>1998</v>
      </c>
      <c r="C212">
        <v>0</v>
      </c>
      <c r="D212">
        <f t="shared" si="3"/>
        <v>0</v>
      </c>
      <c r="E212">
        <v>18357156</v>
      </c>
      <c r="F212">
        <v>57</v>
      </c>
      <c r="G212" s="2">
        <v>-0.13546697795391083</v>
      </c>
      <c r="H212">
        <v>8.1999998092651403</v>
      </c>
      <c r="I212" t="s">
        <v>24</v>
      </c>
    </row>
    <row r="213" spans="1:9" x14ac:dyDescent="0.2">
      <c r="A213" t="s">
        <v>12</v>
      </c>
      <c r="B213">
        <v>1999</v>
      </c>
      <c r="C213">
        <v>0</v>
      </c>
      <c r="D213">
        <f t="shared" si="3"/>
        <v>0</v>
      </c>
      <c r="E213">
        <v>18812359</v>
      </c>
      <c r="F213">
        <v>57.9</v>
      </c>
      <c r="G213" t="s">
        <v>17</v>
      </c>
      <c r="H213">
        <v>10.1000003814697</v>
      </c>
      <c r="I213" t="s">
        <v>24</v>
      </c>
    </row>
    <row r="214" spans="1:9" x14ac:dyDescent="0.2">
      <c r="A214" t="s">
        <v>12</v>
      </c>
      <c r="B214">
        <v>2000</v>
      </c>
      <c r="C214">
        <v>0</v>
      </c>
      <c r="D214">
        <f t="shared" si="3"/>
        <v>0</v>
      </c>
      <c r="E214">
        <v>19278856</v>
      </c>
      <c r="F214">
        <v>58.1</v>
      </c>
      <c r="G214" s="2">
        <v>-0.35984373092651367</v>
      </c>
      <c r="H214">
        <v>10.3599996566772</v>
      </c>
      <c r="I214" t="s">
        <v>24</v>
      </c>
    </row>
    <row r="215" spans="1:9" x14ac:dyDescent="0.2">
      <c r="A215" t="s">
        <v>12</v>
      </c>
      <c r="B215">
        <v>2001</v>
      </c>
      <c r="C215">
        <v>0</v>
      </c>
      <c r="D215">
        <f t="shared" si="3"/>
        <v>0</v>
      </c>
      <c r="E215">
        <v>19756928</v>
      </c>
      <c r="F215">
        <v>58</v>
      </c>
      <c r="G215" t="s">
        <v>17</v>
      </c>
      <c r="H215">
        <v>9.2600002288818395</v>
      </c>
      <c r="I215" t="s">
        <v>24</v>
      </c>
    </row>
    <row r="216" spans="1:9" x14ac:dyDescent="0.2">
      <c r="A216" t="s">
        <v>12</v>
      </c>
      <c r="B216">
        <v>2002</v>
      </c>
      <c r="C216">
        <v>0</v>
      </c>
      <c r="D216">
        <f t="shared" si="3"/>
        <v>0</v>
      </c>
      <c r="E216">
        <v>20246381</v>
      </c>
      <c r="F216">
        <v>57.2</v>
      </c>
      <c r="G216" s="2">
        <v>-0.16376829147338867</v>
      </c>
      <c r="H216">
        <v>8.3000001907348597</v>
      </c>
      <c r="I216" t="s">
        <v>24</v>
      </c>
    </row>
    <row r="217" spans="1:9" x14ac:dyDescent="0.2">
      <c r="A217" t="s">
        <v>12</v>
      </c>
      <c r="B217">
        <v>2003</v>
      </c>
      <c r="C217">
        <v>0</v>
      </c>
      <c r="D217">
        <f t="shared" si="3"/>
        <v>0</v>
      </c>
      <c r="E217">
        <v>20750299</v>
      </c>
      <c r="F217">
        <v>58.2</v>
      </c>
      <c r="G217" s="2">
        <v>2.8774205595254898E-2</v>
      </c>
      <c r="H217">
        <v>7.3400001525878897</v>
      </c>
      <c r="I217" t="s">
        <v>24</v>
      </c>
    </row>
    <row r="218" spans="1:9" x14ac:dyDescent="0.2">
      <c r="A218" t="s">
        <v>12</v>
      </c>
      <c r="B218">
        <v>2004</v>
      </c>
      <c r="C218">
        <v>0</v>
      </c>
      <c r="D218">
        <f t="shared" si="3"/>
        <v>0</v>
      </c>
      <c r="E218">
        <v>21272323</v>
      </c>
      <c r="F218">
        <v>59.1</v>
      </c>
      <c r="G218" s="2">
        <v>3.9966840296983719E-2</v>
      </c>
      <c r="H218">
        <v>6.4000000953674299</v>
      </c>
      <c r="I218" t="s">
        <v>24</v>
      </c>
    </row>
    <row r="219" spans="1:9" x14ac:dyDescent="0.2">
      <c r="A219" t="s">
        <v>12</v>
      </c>
      <c r="B219">
        <v>2005</v>
      </c>
      <c r="C219">
        <v>0</v>
      </c>
      <c r="D219">
        <f t="shared" si="3"/>
        <v>0</v>
      </c>
      <c r="E219">
        <v>21814642</v>
      </c>
      <c r="F219">
        <v>56.5</v>
      </c>
      <c r="G219" s="2">
        <v>0.1683213859796524</v>
      </c>
      <c r="H219">
        <v>5.5</v>
      </c>
      <c r="I219" t="s">
        <v>24</v>
      </c>
    </row>
    <row r="220" spans="1:9" x14ac:dyDescent="0.2">
      <c r="A220" t="s">
        <v>12</v>
      </c>
      <c r="B220">
        <v>2006</v>
      </c>
      <c r="C220">
        <v>0</v>
      </c>
      <c r="D220">
        <f t="shared" si="3"/>
        <v>0</v>
      </c>
      <c r="E220">
        <v>22379055</v>
      </c>
      <c r="F220">
        <v>55.6</v>
      </c>
      <c r="G220" s="2">
        <v>8.0320397391915321E-3</v>
      </c>
      <c r="H220">
        <v>4.6399998664856001</v>
      </c>
      <c r="I220" t="s">
        <v>24</v>
      </c>
    </row>
    <row r="221" spans="1:9" x14ac:dyDescent="0.2">
      <c r="A221" t="s">
        <v>12</v>
      </c>
      <c r="B221">
        <v>2007</v>
      </c>
      <c r="C221">
        <v>0</v>
      </c>
      <c r="D221">
        <f t="shared" si="3"/>
        <v>0</v>
      </c>
      <c r="E221">
        <v>22963946</v>
      </c>
      <c r="F221">
        <v>57.6</v>
      </c>
      <c r="G221" s="2">
        <v>-7.1785777807235718E-2</v>
      </c>
      <c r="H221">
        <v>4.6900000572204599</v>
      </c>
      <c r="I221" t="s">
        <v>24</v>
      </c>
    </row>
    <row r="222" spans="1:9" x14ac:dyDescent="0.2">
      <c r="A222" t="s">
        <v>12</v>
      </c>
      <c r="B222">
        <v>2008</v>
      </c>
      <c r="C222">
        <v>0</v>
      </c>
      <c r="D222">
        <f t="shared" si="3"/>
        <v>0</v>
      </c>
      <c r="E222">
        <v>23563825</v>
      </c>
      <c r="F222">
        <v>57</v>
      </c>
      <c r="G222" s="2">
        <v>-2.7628801763057709E-2</v>
      </c>
      <c r="H222">
        <v>4.78999996185303</v>
      </c>
      <c r="I222" t="s">
        <v>24</v>
      </c>
    </row>
    <row r="223" spans="1:9" x14ac:dyDescent="0.2">
      <c r="A223" t="s">
        <v>12</v>
      </c>
      <c r="B223">
        <v>2009</v>
      </c>
      <c r="C223">
        <v>0</v>
      </c>
      <c r="D223">
        <f t="shared" si="3"/>
        <v>0</v>
      </c>
      <c r="E223">
        <v>24170940</v>
      </c>
      <c r="F223">
        <v>58.1</v>
      </c>
      <c r="G223" s="2">
        <v>2.9943397268652916E-2</v>
      </c>
      <c r="H223">
        <v>5.1399998664856001</v>
      </c>
      <c r="I223" t="s">
        <v>24</v>
      </c>
    </row>
    <row r="224" spans="1:9" x14ac:dyDescent="0.2">
      <c r="A224" t="s">
        <v>12</v>
      </c>
      <c r="B224">
        <v>2010</v>
      </c>
      <c r="C224">
        <v>0</v>
      </c>
      <c r="D224">
        <f t="shared" si="3"/>
        <v>0</v>
      </c>
      <c r="E224">
        <v>24779619</v>
      </c>
      <c r="F224">
        <v>60.2</v>
      </c>
      <c r="G224" s="2">
        <v>2.6093240827322006E-2</v>
      </c>
      <c r="H224">
        <v>5.3200001716613796</v>
      </c>
      <c r="I224" t="s">
        <v>24</v>
      </c>
    </row>
    <row r="225" spans="1:9" x14ac:dyDescent="0.2">
      <c r="A225" t="s">
        <v>12</v>
      </c>
      <c r="B225">
        <v>2011</v>
      </c>
      <c r="C225">
        <v>0</v>
      </c>
      <c r="D225">
        <f t="shared" si="3"/>
        <v>0</v>
      </c>
      <c r="E225">
        <v>25387710</v>
      </c>
      <c r="F225">
        <v>59.4</v>
      </c>
      <c r="G225" s="2">
        <v>0.16711214184761047</v>
      </c>
      <c r="H225">
        <v>5.6199998855590803</v>
      </c>
      <c r="I225" t="s">
        <v>24</v>
      </c>
    </row>
    <row r="226" spans="1:9" x14ac:dyDescent="0.2">
      <c r="A226" t="s">
        <v>12</v>
      </c>
      <c r="B226">
        <v>2012</v>
      </c>
      <c r="C226">
        <v>0</v>
      </c>
      <c r="D226">
        <f t="shared" si="3"/>
        <v>0</v>
      </c>
      <c r="E226">
        <v>25996449</v>
      </c>
      <c r="F226">
        <v>60.7</v>
      </c>
      <c r="G226" s="2">
        <v>0.13069498538970947</v>
      </c>
      <c r="H226">
        <v>5.9299998283386204</v>
      </c>
      <c r="I226" t="s">
        <v>24</v>
      </c>
    </row>
    <row r="227" spans="1:9" x14ac:dyDescent="0.2">
      <c r="A227" t="s">
        <v>12</v>
      </c>
      <c r="B227">
        <v>2013</v>
      </c>
      <c r="C227">
        <v>0</v>
      </c>
      <c r="D227">
        <f t="shared" si="3"/>
        <v>0</v>
      </c>
      <c r="E227">
        <v>26607642</v>
      </c>
      <c r="F227">
        <v>61.3</v>
      </c>
      <c r="G227" s="2">
        <v>6.0606084764003754E-2</v>
      </c>
      <c r="H227">
        <v>6.2600002288818404</v>
      </c>
      <c r="I227" t="s">
        <v>24</v>
      </c>
    </row>
    <row r="228" spans="1:9" x14ac:dyDescent="0.2">
      <c r="A228" t="s">
        <v>12</v>
      </c>
      <c r="B228">
        <v>2014</v>
      </c>
      <c r="C228">
        <v>0</v>
      </c>
      <c r="D228">
        <f t="shared" si="3"/>
        <v>0</v>
      </c>
      <c r="E228">
        <v>27224472</v>
      </c>
      <c r="F228">
        <v>64.2</v>
      </c>
      <c r="G228" s="2">
        <v>-0.10680796205997467</v>
      </c>
      <c r="H228">
        <v>6.5199999809265101</v>
      </c>
      <c r="I228" t="s">
        <v>24</v>
      </c>
    </row>
    <row r="229" spans="1:9" x14ac:dyDescent="0.2">
      <c r="A229" t="s">
        <v>12</v>
      </c>
      <c r="B229">
        <v>2015</v>
      </c>
      <c r="C229">
        <v>0</v>
      </c>
      <c r="D229">
        <f t="shared" si="3"/>
        <v>0</v>
      </c>
      <c r="E229">
        <v>27849205</v>
      </c>
      <c r="F229">
        <v>63</v>
      </c>
      <c r="G229" s="2">
        <v>-3.209933266043663E-2</v>
      </c>
      <c r="H229">
        <v>6.8099999427795401</v>
      </c>
      <c r="I229" t="s">
        <v>24</v>
      </c>
    </row>
    <row r="230" spans="1:9" x14ac:dyDescent="0.2">
      <c r="A230" t="s">
        <v>12</v>
      </c>
      <c r="B230">
        <v>2016</v>
      </c>
      <c r="C230">
        <v>0</v>
      </c>
      <c r="D230">
        <f t="shared" si="3"/>
        <v>0</v>
      </c>
      <c r="E230">
        <v>28481946</v>
      </c>
      <c r="F230">
        <v>63</v>
      </c>
      <c r="G230" s="2">
        <v>-0.13092862069606781</v>
      </c>
      <c r="H230">
        <v>5.4499998092651403</v>
      </c>
      <c r="I230" t="s">
        <v>24</v>
      </c>
    </row>
    <row r="231" spans="1:9" x14ac:dyDescent="0.2">
      <c r="A231" t="s">
        <v>12</v>
      </c>
      <c r="B231">
        <v>2017</v>
      </c>
      <c r="C231">
        <v>0</v>
      </c>
      <c r="D231">
        <f t="shared" si="3"/>
        <v>0</v>
      </c>
      <c r="E231">
        <v>29121471</v>
      </c>
      <c r="F231">
        <v>56.2</v>
      </c>
      <c r="G231" s="2">
        <v>9.1780789196491241E-2</v>
      </c>
      <c r="H231">
        <v>4.2199997901916504</v>
      </c>
      <c r="I231" t="s">
        <v>24</v>
      </c>
    </row>
    <row r="232" spans="1:9" x14ac:dyDescent="0.2">
      <c r="A232" t="s">
        <v>12</v>
      </c>
      <c r="B232">
        <v>2018</v>
      </c>
      <c r="C232">
        <v>0</v>
      </c>
      <c r="D232">
        <f t="shared" si="3"/>
        <v>0</v>
      </c>
      <c r="E232">
        <v>29767108</v>
      </c>
      <c r="F232">
        <v>56</v>
      </c>
      <c r="G232" s="2">
        <v>-1.7135005444288254E-2</v>
      </c>
      <c r="H232">
        <v>4.1599998474121103</v>
      </c>
      <c r="I232" t="s">
        <v>24</v>
      </c>
    </row>
    <row r="233" spans="1:9" x14ac:dyDescent="0.2">
      <c r="A233" t="s">
        <v>12</v>
      </c>
      <c r="B233">
        <v>2019</v>
      </c>
      <c r="C233">
        <v>0</v>
      </c>
      <c r="D233">
        <f t="shared" si="3"/>
        <v>0</v>
      </c>
      <c r="E233">
        <v>30417856</v>
      </c>
      <c r="F233">
        <v>57.5</v>
      </c>
      <c r="G233" s="2">
        <v>9.834696352481842E-2</v>
      </c>
      <c r="H233">
        <v>4.1199998855590803</v>
      </c>
      <c r="I233" t="s">
        <v>24</v>
      </c>
    </row>
    <row r="234" spans="1:9" x14ac:dyDescent="0.2">
      <c r="A234" t="s">
        <v>13</v>
      </c>
      <c r="B234">
        <v>1991</v>
      </c>
      <c r="C234">
        <v>0</v>
      </c>
      <c r="D234">
        <f t="shared" si="3"/>
        <v>0</v>
      </c>
      <c r="E234">
        <v>12362407</v>
      </c>
      <c r="F234" t="s">
        <v>17</v>
      </c>
      <c r="G234" t="s">
        <v>17</v>
      </c>
      <c r="H234">
        <v>6.6199998855590803</v>
      </c>
      <c r="I234" t="s">
        <v>24</v>
      </c>
    </row>
    <row r="235" spans="1:9" x14ac:dyDescent="0.2">
      <c r="A235" t="s">
        <v>13</v>
      </c>
      <c r="B235">
        <v>1992</v>
      </c>
      <c r="C235">
        <v>0</v>
      </c>
      <c r="D235">
        <f t="shared" si="3"/>
        <v>0</v>
      </c>
      <c r="E235">
        <v>12812421</v>
      </c>
      <c r="F235" t="s">
        <v>17</v>
      </c>
      <c r="G235" t="s">
        <v>17</v>
      </c>
      <c r="H235">
        <v>6.6999998092651403</v>
      </c>
      <c r="I235" t="s">
        <v>24</v>
      </c>
    </row>
    <row r="236" spans="1:9" x14ac:dyDescent="0.2">
      <c r="A236" t="s">
        <v>13</v>
      </c>
      <c r="B236">
        <v>1993</v>
      </c>
      <c r="C236">
        <v>0</v>
      </c>
      <c r="D236">
        <f t="shared" si="3"/>
        <v>0</v>
      </c>
      <c r="E236">
        <v>13271643</v>
      </c>
      <c r="F236" t="s">
        <v>17</v>
      </c>
      <c r="G236" t="s">
        <v>17</v>
      </c>
      <c r="H236">
        <v>5.8400001525878897</v>
      </c>
      <c r="I236" t="s">
        <v>24</v>
      </c>
    </row>
    <row r="237" spans="1:9" x14ac:dyDescent="0.2">
      <c r="A237" t="s">
        <v>13</v>
      </c>
      <c r="B237">
        <v>1994</v>
      </c>
      <c r="C237">
        <v>0</v>
      </c>
      <c r="D237">
        <f t="shared" si="3"/>
        <v>0</v>
      </c>
      <c r="E237">
        <v>13735433</v>
      </c>
      <c r="F237" t="s">
        <v>17</v>
      </c>
      <c r="G237" t="s">
        <v>17</v>
      </c>
      <c r="H237">
        <v>4.9499998092651403</v>
      </c>
      <c r="I237" t="s">
        <v>24</v>
      </c>
    </row>
    <row r="238" spans="1:9" x14ac:dyDescent="0.2">
      <c r="A238" t="s">
        <v>13</v>
      </c>
      <c r="B238">
        <v>1995</v>
      </c>
      <c r="C238">
        <v>0</v>
      </c>
      <c r="D238">
        <f t="shared" si="3"/>
        <v>0</v>
      </c>
      <c r="E238">
        <v>14199762</v>
      </c>
      <c r="F238">
        <v>53.4</v>
      </c>
      <c r="G238" t="s">
        <v>17</v>
      </c>
      <c r="H238">
        <v>4.0999999046325701</v>
      </c>
      <c r="I238" t="s">
        <v>24</v>
      </c>
    </row>
    <row r="239" spans="1:9" x14ac:dyDescent="0.2">
      <c r="A239" t="s">
        <v>13</v>
      </c>
      <c r="B239">
        <v>1996</v>
      </c>
      <c r="C239">
        <v>0</v>
      </c>
      <c r="D239">
        <f t="shared" si="3"/>
        <v>0</v>
      </c>
      <c r="E239">
        <v>14665127</v>
      </c>
      <c r="F239">
        <v>49.9</v>
      </c>
      <c r="G239" s="2">
        <v>3.4838724881410599E-2</v>
      </c>
      <c r="H239">
        <v>4.0999999046325701</v>
      </c>
      <c r="I239" t="s">
        <v>24</v>
      </c>
    </row>
    <row r="240" spans="1:9" x14ac:dyDescent="0.2">
      <c r="A240" t="s">
        <v>13</v>
      </c>
      <c r="B240">
        <v>1997</v>
      </c>
      <c r="C240">
        <v>0</v>
      </c>
      <c r="D240">
        <f t="shared" si="3"/>
        <v>0</v>
      </c>
      <c r="E240">
        <v>15130663</v>
      </c>
      <c r="F240">
        <v>50.5</v>
      </c>
      <c r="G240" t="s">
        <v>17</v>
      </c>
      <c r="H240">
        <v>4.0999999046325701</v>
      </c>
      <c r="I240" t="s">
        <v>24</v>
      </c>
    </row>
    <row r="241" spans="1:9" x14ac:dyDescent="0.2">
      <c r="A241" t="s">
        <v>13</v>
      </c>
      <c r="B241">
        <v>1998</v>
      </c>
      <c r="C241">
        <v>0</v>
      </c>
      <c r="D241">
        <f t="shared" ref="D241:D300" si="4">(C241/E241)*1000</f>
        <v>0</v>
      </c>
      <c r="E241">
        <v>15589414</v>
      </c>
      <c r="F241">
        <v>51.3</v>
      </c>
      <c r="G241" s="2">
        <v>-0.20232486724853516</v>
      </c>
      <c r="H241">
        <v>4.0999999046325701</v>
      </c>
      <c r="I241" t="s">
        <v>24</v>
      </c>
    </row>
    <row r="242" spans="1:9" x14ac:dyDescent="0.2">
      <c r="A242" t="s">
        <v>13</v>
      </c>
      <c r="B242">
        <v>1999</v>
      </c>
      <c r="C242">
        <v>0</v>
      </c>
      <c r="D242">
        <f t="shared" si="4"/>
        <v>0</v>
      </c>
      <c r="E242">
        <v>16032573</v>
      </c>
      <c r="F242">
        <v>51.7</v>
      </c>
      <c r="G242" t="s">
        <v>17</v>
      </c>
      <c r="H242">
        <v>4.3299999237060502</v>
      </c>
      <c r="I242" t="s">
        <v>24</v>
      </c>
    </row>
    <row r="243" spans="1:9" x14ac:dyDescent="0.2">
      <c r="A243" t="s">
        <v>13</v>
      </c>
      <c r="B243">
        <v>2000</v>
      </c>
      <c r="C243">
        <v>0</v>
      </c>
      <c r="D243">
        <f t="shared" si="4"/>
        <v>0</v>
      </c>
      <c r="E243">
        <v>16454668</v>
      </c>
      <c r="F243">
        <v>50.2</v>
      </c>
      <c r="G243" s="2">
        <v>-1.2440390586853027</v>
      </c>
      <c r="H243">
        <v>4.5199999809265101</v>
      </c>
      <c r="I243" t="s">
        <v>24</v>
      </c>
    </row>
    <row r="244" spans="1:9" x14ac:dyDescent="0.2">
      <c r="A244" t="s">
        <v>13</v>
      </c>
      <c r="B244">
        <v>2001</v>
      </c>
      <c r="C244">
        <v>0</v>
      </c>
      <c r="D244">
        <f t="shared" si="4"/>
        <v>0</v>
      </c>
      <c r="E244">
        <v>16853026</v>
      </c>
      <c r="F244">
        <v>54.8</v>
      </c>
      <c r="G244" t="s">
        <v>17</v>
      </c>
      <c r="H244">
        <v>4.71000003814697</v>
      </c>
      <c r="I244" t="s">
        <v>24</v>
      </c>
    </row>
    <row r="245" spans="1:9" x14ac:dyDescent="0.2">
      <c r="A245" t="s">
        <v>13</v>
      </c>
      <c r="B245">
        <v>2002</v>
      </c>
      <c r="C245">
        <v>624</v>
      </c>
      <c r="D245">
        <f t="shared" si="4"/>
        <v>3.6212667945677977E-2</v>
      </c>
      <c r="E245">
        <v>17231539</v>
      </c>
      <c r="F245">
        <v>57.3</v>
      </c>
      <c r="G245" s="2">
        <v>-1.9185575246810913</v>
      </c>
      <c r="H245">
        <v>4.96000003814697</v>
      </c>
      <c r="I245" t="s">
        <v>24</v>
      </c>
    </row>
    <row r="246" spans="1:9" x14ac:dyDescent="0.2">
      <c r="A246" t="s">
        <v>13</v>
      </c>
      <c r="B246">
        <v>2003</v>
      </c>
      <c r="C246">
        <v>139</v>
      </c>
      <c r="D246">
        <f t="shared" si="4"/>
        <v>7.8979022830619541E-3</v>
      </c>
      <c r="E246">
        <v>17599610</v>
      </c>
      <c r="F246">
        <v>56.7</v>
      </c>
      <c r="G246" s="2">
        <v>-1.8030331134796143</v>
      </c>
      <c r="H246">
        <v>5.1799998283386204</v>
      </c>
      <c r="I246" t="s">
        <v>24</v>
      </c>
    </row>
    <row r="247" spans="1:9" x14ac:dyDescent="0.2">
      <c r="A247" t="s">
        <v>13</v>
      </c>
      <c r="B247">
        <v>2004</v>
      </c>
      <c r="C247">
        <v>47</v>
      </c>
      <c r="D247">
        <f t="shared" si="4"/>
        <v>2.6153983301738953E-3</v>
      </c>
      <c r="E247">
        <v>17970494</v>
      </c>
      <c r="F247">
        <v>57.8</v>
      </c>
      <c r="G247" s="2">
        <v>-2.1169114112854004</v>
      </c>
      <c r="H247">
        <v>5.3600001335143999</v>
      </c>
      <c r="I247" t="s">
        <v>24</v>
      </c>
    </row>
    <row r="248" spans="1:9" x14ac:dyDescent="0.2">
      <c r="A248" t="s">
        <v>13</v>
      </c>
      <c r="B248">
        <v>2005</v>
      </c>
      <c r="C248">
        <v>0</v>
      </c>
      <c r="D248">
        <f t="shared" si="4"/>
        <v>0</v>
      </c>
      <c r="E248">
        <v>18354514</v>
      </c>
      <c r="F248">
        <v>56.6</v>
      </c>
      <c r="G248" s="2">
        <v>-2.2640466690063477</v>
      </c>
      <c r="H248">
        <v>5.5100002288818404</v>
      </c>
      <c r="I248" t="s">
        <v>24</v>
      </c>
    </row>
    <row r="249" spans="1:9" x14ac:dyDescent="0.2">
      <c r="A249" t="s">
        <v>13</v>
      </c>
      <c r="B249">
        <v>2006</v>
      </c>
      <c r="C249">
        <v>0</v>
      </c>
      <c r="D249">
        <f t="shared" si="4"/>
        <v>0</v>
      </c>
      <c r="E249">
        <v>18754916</v>
      </c>
      <c r="F249">
        <v>56.2</v>
      </c>
      <c r="G249" s="2">
        <v>-1.8652938604354858</v>
      </c>
      <c r="H249">
        <v>5.6100001335143999</v>
      </c>
      <c r="I249" t="s">
        <v>24</v>
      </c>
    </row>
    <row r="250" spans="1:9" x14ac:dyDescent="0.2">
      <c r="A250" t="s">
        <v>13</v>
      </c>
      <c r="B250">
        <v>2007</v>
      </c>
      <c r="C250">
        <v>0</v>
      </c>
      <c r="D250">
        <f t="shared" si="4"/>
        <v>0</v>
      </c>
      <c r="E250">
        <v>19171237</v>
      </c>
      <c r="F250">
        <v>54.9</v>
      </c>
      <c r="G250" s="2">
        <v>-1.8380575180053711</v>
      </c>
      <c r="H250">
        <v>5.71000003814697</v>
      </c>
      <c r="I250" t="s">
        <v>24</v>
      </c>
    </row>
    <row r="251" spans="1:9" x14ac:dyDescent="0.2">
      <c r="A251" t="s">
        <v>13</v>
      </c>
      <c r="B251">
        <v>2008</v>
      </c>
      <c r="C251">
        <v>0</v>
      </c>
      <c r="D251">
        <f t="shared" si="4"/>
        <v>0</v>
      </c>
      <c r="E251">
        <v>19605569</v>
      </c>
      <c r="F251">
        <v>53.9</v>
      </c>
      <c r="G251" s="2">
        <v>-1.8066738843917847</v>
      </c>
      <c r="H251">
        <v>5.8800001144409197</v>
      </c>
      <c r="I251" t="s">
        <v>24</v>
      </c>
    </row>
    <row r="252" spans="1:9" x14ac:dyDescent="0.2">
      <c r="A252" t="s">
        <v>13</v>
      </c>
      <c r="B252">
        <v>2009</v>
      </c>
      <c r="C252">
        <v>0</v>
      </c>
      <c r="D252">
        <f t="shared" si="4"/>
        <v>0</v>
      </c>
      <c r="E252">
        <v>20059147</v>
      </c>
      <c r="F252">
        <v>55</v>
      </c>
      <c r="G252" s="2">
        <v>-1.3208744525909424</v>
      </c>
      <c r="H252">
        <v>6.4099998474121103</v>
      </c>
      <c r="I252" t="s">
        <v>24</v>
      </c>
    </row>
    <row r="253" spans="1:9" x14ac:dyDescent="0.2">
      <c r="A253" t="s">
        <v>13</v>
      </c>
      <c r="B253">
        <v>2010</v>
      </c>
      <c r="C253">
        <v>0</v>
      </c>
      <c r="D253">
        <f t="shared" si="4"/>
        <v>0</v>
      </c>
      <c r="E253">
        <v>20532950</v>
      </c>
      <c r="F253">
        <v>54.1</v>
      </c>
      <c r="G253" s="2">
        <v>-1.5838942527770996</v>
      </c>
      <c r="H253">
        <v>6.71000003814697</v>
      </c>
      <c r="I253" t="s">
        <v>24</v>
      </c>
    </row>
    <row r="254" spans="1:9" x14ac:dyDescent="0.2">
      <c r="A254" t="s">
        <v>13</v>
      </c>
      <c r="B254">
        <v>2011</v>
      </c>
      <c r="C254">
        <v>98</v>
      </c>
      <c r="D254">
        <f t="shared" si="4"/>
        <v>4.66030756603311E-3</v>
      </c>
      <c r="E254">
        <v>21028655</v>
      </c>
      <c r="F254">
        <v>55.4</v>
      </c>
      <c r="G254" s="2">
        <v>-1.4058076143264771</v>
      </c>
      <c r="H254">
        <v>6.96000003814697</v>
      </c>
      <c r="I254" t="s">
        <v>24</v>
      </c>
    </row>
    <row r="255" spans="1:9" x14ac:dyDescent="0.2">
      <c r="A255" t="s">
        <v>13</v>
      </c>
      <c r="B255">
        <v>2012</v>
      </c>
      <c r="C255">
        <v>0</v>
      </c>
      <c r="D255">
        <f t="shared" si="4"/>
        <v>0</v>
      </c>
      <c r="E255">
        <v>21547188</v>
      </c>
      <c r="F255">
        <v>54.3</v>
      </c>
      <c r="G255" s="2">
        <v>-1.2634611129760742</v>
      </c>
      <c r="H255">
        <v>7.2199997901916504</v>
      </c>
      <c r="I255" t="s">
        <v>24</v>
      </c>
    </row>
    <row r="256" spans="1:9" x14ac:dyDescent="0.2">
      <c r="A256" t="s">
        <v>13</v>
      </c>
      <c r="B256">
        <v>2013</v>
      </c>
      <c r="C256">
        <v>0</v>
      </c>
      <c r="D256">
        <f t="shared" si="4"/>
        <v>0</v>
      </c>
      <c r="E256">
        <v>22087505</v>
      </c>
      <c r="F256">
        <v>54.1</v>
      </c>
      <c r="G256" s="2">
        <v>-1.0487241744995117</v>
      </c>
      <c r="H256">
        <v>4.25</v>
      </c>
      <c r="I256" t="s">
        <v>24</v>
      </c>
    </row>
    <row r="257" spans="1:9" x14ac:dyDescent="0.2">
      <c r="A257" t="s">
        <v>13</v>
      </c>
      <c r="B257">
        <v>2014</v>
      </c>
      <c r="C257">
        <v>0</v>
      </c>
      <c r="D257">
        <f t="shared" si="4"/>
        <v>0</v>
      </c>
      <c r="E257">
        <v>22647683</v>
      </c>
      <c r="F257">
        <v>57.7</v>
      </c>
      <c r="G257" s="2">
        <v>-1.0371606349945068</v>
      </c>
      <c r="H257">
        <v>3.6500000953674299</v>
      </c>
      <c r="I257" t="s">
        <v>24</v>
      </c>
    </row>
    <row r="258" spans="1:9" x14ac:dyDescent="0.2">
      <c r="A258" t="s">
        <v>13</v>
      </c>
      <c r="B258">
        <v>2015</v>
      </c>
      <c r="C258">
        <v>0</v>
      </c>
      <c r="D258">
        <f t="shared" si="4"/>
        <v>0</v>
      </c>
      <c r="E258">
        <v>23226143</v>
      </c>
      <c r="F258">
        <v>58.5</v>
      </c>
      <c r="G258" s="2">
        <v>-0.8325459361076355</v>
      </c>
      <c r="H258">
        <v>3.0999999046325701</v>
      </c>
      <c r="I258" t="s">
        <v>24</v>
      </c>
    </row>
    <row r="259" spans="1:9" x14ac:dyDescent="0.2">
      <c r="A259" t="s">
        <v>13</v>
      </c>
      <c r="B259">
        <v>2016</v>
      </c>
      <c r="C259">
        <v>0</v>
      </c>
      <c r="D259">
        <f t="shared" si="4"/>
        <v>0</v>
      </c>
      <c r="E259">
        <v>23822714</v>
      </c>
      <c r="F259">
        <v>60</v>
      </c>
      <c r="G259" s="2">
        <v>-0.90755933523178101</v>
      </c>
      <c r="H259">
        <v>2.5999999046325701</v>
      </c>
      <c r="I259" t="s">
        <v>24</v>
      </c>
    </row>
    <row r="260" spans="1:9" x14ac:dyDescent="0.2">
      <c r="A260" t="s">
        <v>13</v>
      </c>
      <c r="B260">
        <v>2017</v>
      </c>
      <c r="C260">
        <v>0</v>
      </c>
      <c r="D260">
        <f t="shared" si="4"/>
        <v>0</v>
      </c>
      <c r="E260">
        <v>24437469</v>
      </c>
      <c r="F260">
        <v>63</v>
      </c>
      <c r="G260" s="2">
        <v>-1.0900746583938599</v>
      </c>
      <c r="H260">
        <v>3.2699999809265101</v>
      </c>
      <c r="I260" t="s">
        <v>24</v>
      </c>
    </row>
    <row r="261" spans="1:9" x14ac:dyDescent="0.2">
      <c r="A261" t="s">
        <v>13</v>
      </c>
      <c r="B261">
        <v>2018</v>
      </c>
      <c r="C261">
        <v>0</v>
      </c>
      <c r="D261">
        <f t="shared" si="4"/>
        <v>0</v>
      </c>
      <c r="E261">
        <v>25069229</v>
      </c>
      <c r="F261">
        <v>62</v>
      </c>
      <c r="G261" s="2">
        <v>-0.88907313346862793</v>
      </c>
      <c r="H261">
        <v>3.21000003814697</v>
      </c>
      <c r="I261" t="s">
        <v>24</v>
      </c>
    </row>
    <row r="262" spans="1:9" x14ac:dyDescent="0.2">
      <c r="A262" t="s">
        <v>13</v>
      </c>
      <c r="B262">
        <v>2019</v>
      </c>
      <c r="C262">
        <v>0</v>
      </c>
      <c r="D262">
        <f t="shared" si="4"/>
        <v>0</v>
      </c>
      <c r="E262">
        <v>25716544</v>
      </c>
      <c r="F262">
        <v>62.4</v>
      </c>
      <c r="G262" s="2">
        <v>-0.96235603094100952</v>
      </c>
      <c r="H262">
        <v>3.1700000762939502</v>
      </c>
      <c r="I262" t="s">
        <v>24</v>
      </c>
    </row>
    <row r="263" spans="1:9" x14ac:dyDescent="0.2">
      <c r="A263" t="s">
        <v>14</v>
      </c>
      <c r="B263">
        <v>1991</v>
      </c>
      <c r="C263">
        <v>0</v>
      </c>
      <c r="D263">
        <f t="shared" si="4"/>
        <v>0</v>
      </c>
      <c r="E263">
        <v>2040139</v>
      </c>
      <c r="F263" t="s">
        <v>17</v>
      </c>
      <c r="G263" t="s">
        <v>17</v>
      </c>
      <c r="H263">
        <v>2.21000003814697</v>
      </c>
      <c r="I263" t="s">
        <v>24</v>
      </c>
    </row>
    <row r="264" spans="1:9" x14ac:dyDescent="0.2">
      <c r="A264" t="s">
        <v>14</v>
      </c>
      <c r="B264">
        <v>1992</v>
      </c>
      <c r="C264">
        <v>0</v>
      </c>
      <c r="D264">
        <f t="shared" si="4"/>
        <v>0</v>
      </c>
      <c r="E264">
        <v>2001624</v>
      </c>
      <c r="F264" t="s">
        <v>17</v>
      </c>
      <c r="G264" t="s">
        <v>17</v>
      </c>
      <c r="H264">
        <v>2.2400000095367401</v>
      </c>
      <c r="I264" t="s">
        <v>24</v>
      </c>
    </row>
    <row r="265" spans="1:9" x14ac:dyDescent="0.2">
      <c r="A265" t="s">
        <v>14</v>
      </c>
      <c r="B265">
        <v>1993</v>
      </c>
      <c r="C265">
        <v>0</v>
      </c>
      <c r="D265">
        <f t="shared" si="4"/>
        <v>0</v>
      </c>
      <c r="E265">
        <v>1976699</v>
      </c>
      <c r="F265" t="s">
        <v>17</v>
      </c>
      <c r="G265" t="s">
        <v>17</v>
      </c>
      <c r="H265">
        <v>2.2999999523162802</v>
      </c>
      <c r="I265" t="s">
        <v>24</v>
      </c>
    </row>
    <row r="266" spans="1:9" x14ac:dyDescent="0.2">
      <c r="A266" t="s">
        <v>14</v>
      </c>
      <c r="B266">
        <v>1994</v>
      </c>
      <c r="C266">
        <v>0</v>
      </c>
      <c r="D266">
        <f t="shared" si="4"/>
        <v>0</v>
      </c>
      <c r="E266">
        <v>1986493</v>
      </c>
      <c r="F266" t="s">
        <v>17</v>
      </c>
      <c r="G266" t="s">
        <v>17</v>
      </c>
      <c r="H266">
        <v>2.3199999332428001</v>
      </c>
      <c r="I266" t="s">
        <v>24</v>
      </c>
    </row>
    <row r="267" spans="1:9" x14ac:dyDescent="0.2">
      <c r="A267" t="s">
        <v>14</v>
      </c>
      <c r="B267">
        <v>1995</v>
      </c>
      <c r="C267">
        <v>0</v>
      </c>
      <c r="D267">
        <f t="shared" si="4"/>
        <v>0</v>
      </c>
      <c r="E267">
        <v>2044661</v>
      </c>
      <c r="F267" t="s">
        <v>17</v>
      </c>
      <c r="G267" t="s">
        <v>17</v>
      </c>
      <c r="H267">
        <v>2.3199999332428001</v>
      </c>
      <c r="I267" t="s">
        <v>24</v>
      </c>
    </row>
    <row r="268" spans="1:9" x14ac:dyDescent="0.2">
      <c r="A268" t="s">
        <v>14</v>
      </c>
      <c r="B268">
        <v>1996</v>
      </c>
      <c r="C268">
        <v>0</v>
      </c>
      <c r="D268">
        <f t="shared" si="4"/>
        <v>0</v>
      </c>
      <c r="E268">
        <v>2160478</v>
      </c>
      <c r="F268" t="s">
        <v>17</v>
      </c>
      <c r="G268" s="2">
        <v>-2.4366774559020996</v>
      </c>
      <c r="H268">
        <v>2.3199999332428001</v>
      </c>
      <c r="I268" t="s">
        <v>24</v>
      </c>
    </row>
    <row r="269" spans="1:9" x14ac:dyDescent="0.2">
      <c r="A269" t="s">
        <v>14</v>
      </c>
      <c r="B269">
        <v>1997</v>
      </c>
      <c r="C269">
        <v>0</v>
      </c>
      <c r="D269">
        <f t="shared" si="4"/>
        <v>0</v>
      </c>
      <c r="E269">
        <v>2326202</v>
      </c>
      <c r="F269" t="s">
        <v>17</v>
      </c>
      <c r="G269" t="s">
        <v>17</v>
      </c>
      <c r="H269">
        <v>2.3099999427795401</v>
      </c>
      <c r="I269" t="s">
        <v>24</v>
      </c>
    </row>
    <row r="270" spans="1:9" x14ac:dyDescent="0.2">
      <c r="A270" t="s">
        <v>14</v>
      </c>
      <c r="B270">
        <v>1998</v>
      </c>
      <c r="C270">
        <v>0</v>
      </c>
      <c r="D270">
        <f t="shared" si="4"/>
        <v>0</v>
      </c>
      <c r="E270">
        <v>2517481</v>
      </c>
      <c r="F270" t="s">
        <v>17</v>
      </c>
      <c r="G270" s="2">
        <v>-1.750877857208252</v>
      </c>
      <c r="H270">
        <v>2.3099999427795401</v>
      </c>
      <c r="I270" t="s">
        <v>24</v>
      </c>
    </row>
    <row r="271" spans="1:9" x14ac:dyDescent="0.2">
      <c r="A271" t="s">
        <v>14</v>
      </c>
      <c r="B271">
        <v>1999</v>
      </c>
      <c r="C271">
        <v>0</v>
      </c>
      <c r="D271">
        <f t="shared" si="4"/>
        <v>0</v>
      </c>
      <c r="E271">
        <v>2699712</v>
      </c>
      <c r="F271" t="s">
        <v>17</v>
      </c>
      <c r="G271" t="s">
        <v>17</v>
      </c>
      <c r="H271">
        <v>2.3399999141693102</v>
      </c>
      <c r="I271" t="s">
        <v>24</v>
      </c>
    </row>
    <row r="272" spans="1:9" x14ac:dyDescent="0.2">
      <c r="A272" t="s">
        <v>14</v>
      </c>
      <c r="B272">
        <v>2000</v>
      </c>
      <c r="C272">
        <v>57</v>
      </c>
      <c r="D272">
        <f t="shared" si="4"/>
        <v>2.0010840960857392E-2</v>
      </c>
      <c r="E272">
        <v>2848456</v>
      </c>
      <c r="F272" t="s">
        <v>17</v>
      </c>
      <c r="G272" s="2">
        <v>-1.9519447088241577</v>
      </c>
      <c r="H272">
        <v>2.3199999332428001</v>
      </c>
      <c r="I272" t="s">
        <v>24</v>
      </c>
    </row>
    <row r="273" spans="1:9" x14ac:dyDescent="0.2">
      <c r="A273" t="s">
        <v>14</v>
      </c>
      <c r="B273">
        <v>2001</v>
      </c>
      <c r="C273">
        <v>341</v>
      </c>
      <c r="D273">
        <f t="shared" si="4"/>
        <v>0.11543954877693322</v>
      </c>
      <c r="E273">
        <v>2953927</v>
      </c>
      <c r="F273" t="s">
        <v>17</v>
      </c>
      <c r="G273" t="s">
        <v>17</v>
      </c>
      <c r="H273">
        <v>2.3099999427795401</v>
      </c>
      <c r="I273" t="s">
        <v>24</v>
      </c>
    </row>
    <row r="274" spans="1:9" x14ac:dyDescent="0.2">
      <c r="A274" t="s">
        <v>14</v>
      </c>
      <c r="B274">
        <v>2002</v>
      </c>
      <c r="C274">
        <v>492</v>
      </c>
      <c r="D274">
        <f t="shared" si="4"/>
        <v>0.16265920021264713</v>
      </c>
      <c r="E274">
        <v>3024729</v>
      </c>
      <c r="F274" t="s">
        <v>17</v>
      </c>
      <c r="G274" s="2">
        <v>-2.1914424896240234</v>
      </c>
      <c r="H274">
        <v>2.3299999237060498</v>
      </c>
      <c r="I274" t="s">
        <v>24</v>
      </c>
    </row>
    <row r="275" spans="1:9" x14ac:dyDescent="0.2">
      <c r="A275" t="s">
        <v>14</v>
      </c>
      <c r="B275">
        <v>2003</v>
      </c>
      <c r="C275">
        <v>787</v>
      </c>
      <c r="D275">
        <f t="shared" si="4"/>
        <v>0.25576378475803835</v>
      </c>
      <c r="E275">
        <v>3077058</v>
      </c>
      <c r="F275" t="s">
        <v>17</v>
      </c>
      <c r="G275" s="2">
        <v>-2.1593360900878906</v>
      </c>
      <c r="H275">
        <v>2.3299999237060498</v>
      </c>
      <c r="I275" t="s">
        <v>24</v>
      </c>
    </row>
    <row r="276" spans="1:9" x14ac:dyDescent="0.2">
      <c r="A276" t="s">
        <v>14</v>
      </c>
      <c r="B276">
        <v>2004</v>
      </c>
      <c r="C276">
        <v>0</v>
      </c>
      <c r="D276">
        <f t="shared" si="4"/>
        <v>0</v>
      </c>
      <c r="E276">
        <v>3135651</v>
      </c>
      <c r="F276" t="s">
        <v>17</v>
      </c>
      <c r="G276" s="2">
        <v>-1.3669806718826294</v>
      </c>
      <c r="H276">
        <v>2.2999999523162802</v>
      </c>
      <c r="I276" t="s">
        <v>24</v>
      </c>
    </row>
    <row r="277" spans="1:9" x14ac:dyDescent="0.2">
      <c r="A277" t="s">
        <v>14</v>
      </c>
      <c r="B277">
        <v>2005</v>
      </c>
      <c r="C277">
        <v>0</v>
      </c>
      <c r="D277">
        <f t="shared" si="4"/>
        <v>0</v>
      </c>
      <c r="E277">
        <v>3218116</v>
      </c>
      <c r="F277" t="s">
        <v>17</v>
      </c>
      <c r="G277" s="2">
        <v>-1.3617089986801147</v>
      </c>
      <c r="H277">
        <v>2.2699999809265101</v>
      </c>
      <c r="I277" t="s">
        <v>24</v>
      </c>
    </row>
    <row r="278" spans="1:9" x14ac:dyDescent="0.2">
      <c r="A278" t="s">
        <v>14</v>
      </c>
      <c r="B278">
        <v>2006</v>
      </c>
      <c r="C278">
        <v>0</v>
      </c>
      <c r="D278">
        <f t="shared" si="4"/>
        <v>0</v>
      </c>
      <c r="E278">
        <v>3329211</v>
      </c>
      <c r="F278" t="s">
        <v>17</v>
      </c>
      <c r="G278" s="2">
        <v>-1.3296303749084473</v>
      </c>
      <c r="H278">
        <v>2.1900000572204599</v>
      </c>
      <c r="I278" t="s">
        <v>24</v>
      </c>
    </row>
    <row r="279" spans="1:9" x14ac:dyDescent="0.2">
      <c r="A279" t="s">
        <v>14</v>
      </c>
      <c r="B279">
        <v>2007</v>
      </c>
      <c r="C279">
        <v>0</v>
      </c>
      <c r="D279">
        <f t="shared" si="4"/>
        <v>0</v>
      </c>
      <c r="E279">
        <v>3461911</v>
      </c>
      <c r="F279" t="s">
        <v>17</v>
      </c>
      <c r="G279" s="2">
        <v>-1.2439690828323364</v>
      </c>
      <c r="H279">
        <v>2.1300001144409202</v>
      </c>
      <c r="I279" t="s">
        <v>24</v>
      </c>
    </row>
    <row r="280" spans="1:9" x14ac:dyDescent="0.2">
      <c r="A280" t="s">
        <v>14</v>
      </c>
      <c r="B280">
        <v>2008</v>
      </c>
      <c r="C280">
        <v>0</v>
      </c>
      <c r="D280">
        <f t="shared" si="4"/>
        <v>0</v>
      </c>
      <c r="E280">
        <v>3607860</v>
      </c>
      <c r="F280" t="s">
        <v>17</v>
      </c>
      <c r="G280" s="2">
        <v>-1.2850855588912964</v>
      </c>
      <c r="H280">
        <v>2.1099998950958301</v>
      </c>
      <c r="I280" t="s">
        <v>24</v>
      </c>
    </row>
    <row r="281" spans="1:9" x14ac:dyDescent="0.2">
      <c r="A281" t="s">
        <v>14</v>
      </c>
      <c r="B281">
        <v>2009</v>
      </c>
      <c r="C281">
        <v>0</v>
      </c>
      <c r="D281">
        <f t="shared" si="4"/>
        <v>0</v>
      </c>
      <c r="E281">
        <v>3754133</v>
      </c>
      <c r="F281">
        <v>48.1</v>
      </c>
      <c r="G281" s="2">
        <v>-1.0510824918746948</v>
      </c>
      <c r="H281">
        <v>2.2400000095367401</v>
      </c>
      <c r="I281" t="s">
        <v>24</v>
      </c>
    </row>
    <row r="282" spans="1:9" x14ac:dyDescent="0.2">
      <c r="A282" t="s">
        <v>14</v>
      </c>
      <c r="B282">
        <v>2010</v>
      </c>
      <c r="C282">
        <v>0</v>
      </c>
      <c r="D282">
        <f t="shared" si="4"/>
        <v>0</v>
      </c>
      <c r="E282">
        <v>3891356</v>
      </c>
      <c r="F282">
        <v>46.2</v>
      </c>
      <c r="G282" s="2">
        <v>-0.46852529048919678</v>
      </c>
      <c r="H282">
        <v>2.2699999809265101</v>
      </c>
      <c r="I282" t="s">
        <v>24</v>
      </c>
    </row>
    <row r="283" spans="1:9" x14ac:dyDescent="0.2">
      <c r="A283" t="s">
        <v>14</v>
      </c>
      <c r="B283">
        <v>2011</v>
      </c>
      <c r="C283">
        <v>0</v>
      </c>
      <c r="D283">
        <f t="shared" si="4"/>
        <v>0</v>
      </c>
      <c r="E283">
        <v>4017443</v>
      </c>
      <c r="F283">
        <v>46.5</v>
      </c>
      <c r="G283" s="2">
        <v>-0.42737025022506714</v>
      </c>
      <c r="H283">
        <v>2.2400000095367401</v>
      </c>
      <c r="I283" t="s">
        <v>24</v>
      </c>
    </row>
    <row r="284" spans="1:9" x14ac:dyDescent="0.2">
      <c r="A284" t="s">
        <v>14</v>
      </c>
      <c r="B284">
        <v>2012</v>
      </c>
      <c r="C284">
        <v>0</v>
      </c>
      <c r="D284">
        <f t="shared" si="4"/>
        <v>0</v>
      </c>
      <c r="E284">
        <v>4135659</v>
      </c>
      <c r="F284">
        <v>48.6</v>
      </c>
      <c r="G284" s="2">
        <v>-0.48447650671005249</v>
      </c>
      <c r="H284">
        <v>2.21000003814697</v>
      </c>
      <c r="I284" t="s">
        <v>24</v>
      </c>
    </row>
    <row r="285" spans="1:9" x14ac:dyDescent="0.2">
      <c r="A285" t="s">
        <v>14</v>
      </c>
      <c r="B285">
        <v>2013</v>
      </c>
      <c r="C285">
        <v>0</v>
      </c>
      <c r="D285">
        <f t="shared" si="4"/>
        <v>0</v>
      </c>
      <c r="E285">
        <v>4248334</v>
      </c>
      <c r="F285">
        <v>49.3</v>
      </c>
      <c r="G285" s="2">
        <v>-0.47550708055496216</v>
      </c>
      <c r="H285">
        <v>2.1900000572204599</v>
      </c>
      <c r="I285" t="s">
        <v>24</v>
      </c>
    </row>
    <row r="286" spans="1:9" x14ac:dyDescent="0.2">
      <c r="A286" t="s">
        <v>14</v>
      </c>
      <c r="B286">
        <v>2014</v>
      </c>
      <c r="C286">
        <v>0</v>
      </c>
      <c r="D286">
        <f t="shared" si="4"/>
        <v>0</v>
      </c>
      <c r="E286">
        <v>4359505</v>
      </c>
      <c r="F286">
        <v>52.4</v>
      </c>
      <c r="G286" s="2">
        <v>-0.61544960737228394</v>
      </c>
      <c r="H286">
        <v>2.1300001144409202</v>
      </c>
      <c r="I286" t="s">
        <v>24</v>
      </c>
    </row>
    <row r="287" spans="1:9" x14ac:dyDescent="0.2">
      <c r="A287" t="s">
        <v>14</v>
      </c>
      <c r="B287">
        <v>2015</v>
      </c>
      <c r="C287">
        <v>0</v>
      </c>
      <c r="D287">
        <f t="shared" si="4"/>
        <v>0</v>
      </c>
      <c r="E287">
        <v>4472230</v>
      </c>
      <c r="F287">
        <v>52.7</v>
      </c>
      <c r="G287" s="2">
        <v>-0.81802570819854736</v>
      </c>
      <c r="H287">
        <v>2.0799999237060498</v>
      </c>
      <c r="I287" t="s">
        <v>24</v>
      </c>
    </row>
    <row r="288" spans="1:9" x14ac:dyDescent="0.2">
      <c r="A288" t="s">
        <v>14</v>
      </c>
      <c r="B288">
        <v>2016</v>
      </c>
      <c r="C288">
        <v>0</v>
      </c>
      <c r="D288">
        <f t="shared" si="4"/>
        <v>0</v>
      </c>
      <c r="E288">
        <v>4586788</v>
      </c>
      <c r="F288">
        <v>52.2</v>
      </c>
      <c r="G288" s="2">
        <v>-0.43740776181221008</v>
      </c>
      <c r="H288">
        <v>3.0799999237060498</v>
      </c>
      <c r="I288" t="s">
        <v>24</v>
      </c>
    </row>
    <row r="289" spans="1:9" x14ac:dyDescent="0.2">
      <c r="A289" t="s">
        <v>14</v>
      </c>
      <c r="B289">
        <v>2017</v>
      </c>
      <c r="C289">
        <v>0</v>
      </c>
      <c r="D289">
        <f t="shared" si="4"/>
        <v>0</v>
      </c>
      <c r="E289">
        <v>4702228</v>
      </c>
      <c r="F289">
        <v>49.1</v>
      </c>
      <c r="G289" s="2">
        <v>-0.36159989237785339</v>
      </c>
      <c r="H289">
        <v>3</v>
      </c>
      <c r="I289" t="s">
        <v>24</v>
      </c>
    </row>
    <row r="290" spans="1:9" x14ac:dyDescent="0.2">
      <c r="A290" t="s">
        <v>14</v>
      </c>
      <c r="B290">
        <v>2018</v>
      </c>
      <c r="C290">
        <v>0</v>
      </c>
      <c r="D290">
        <f t="shared" si="4"/>
        <v>0</v>
      </c>
      <c r="E290">
        <v>4818977</v>
      </c>
      <c r="F290">
        <v>50.9</v>
      </c>
      <c r="G290" s="2">
        <v>-0.24548724293708801</v>
      </c>
      <c r="H290">
        <v>2.9400000572204599</v>
      </c>
      <c r="I290" t="s">
        <v>24</v>
      </c>
    </row>
    <row r="291" spans="1:9" x14ac:dyDescent="0.2">
      <c r="A291" t="s">
        <v>14</v>
      </c>
      <c r="B291">
        <v>2019</v>
      </c>
      <c r="C291">
        <v>0</v>
      </c>
      <c r="D291">
        <f t="shared" si="4"/>
        <v>0</v>
      </c>
      <c r="E291">
        <v>4937374</v>
      </c>
      <c r="F291">
        <v>49.7</v>
      </c>
      <c r="G291" s="2">
        <v>-0.22901391983032227</v>
      </c>
      <c r="H291">
        <v>2.8900001049041699</v>
      </c>
      <c r="I291" t="s">
        <v>24</v>
      </c>
    </row>
    <row r="292" spans="1:9" x14ac:dyDescent="0.2">
      <c r="A292" t="s">
        <v>9</v>
      </c>
      <c r="B292">
        <v>1991</v>
      </c>
      <c r="C292">
        <v>0</v>
      </c>
      <c r="D292">
        <f t="shared" si="4"/>
        <v>0</v>
      </c>
      <c r="E292">
        <v>97667632</v>
      </c>
      <c r="F292" t="s">
        <v>17</v>
      </c>
      <c r="G292" t="s">
        <v>17</v>
      </c>
      <c r="H292">
        <v>3.71000003814697</v>
      </c>
      <c r="I292" t="s">
        <v>24</v>
      </c>
    </row>
    <row r="293" spans="1:9" x14ac:dyDescent="0.2">
      <c r="A293" t="s">
        <v>9</v>
      </c>
      <c r="B293">
        <v>1992</v>
      </c>
      <c r="C293">
        <v>0</v>
      </c>
      <c r="D293">
        <f t="shared" si="4"/>
        <v>0</v>
      </c>
      <c r="E293">
        <v>100161710</v>
      </c>
      <c r="F293" t="s">
        <v>17</v>
      </c>
      <c r="G293" t="s">
        <v>17</v>
      </c>
      <c r="H293">
        <v>3.75</v>
      </c>
      <c r="I293" t="s">
        <v>24</v>
      </c>
    </row>
    <row r="294" spans="1:9" x14ac:dyDescent="0.2">
      <c r="A294" t="s">
        <v>9</v>
      </c>
      <c r="B294">
        <v>1993</v>
      </c>
      <c r="C294">
        <v>0</v>
      </c>
      <c r="D294">
        <f t="shared" si="4"/>
        <v>0</v>
      </c>
      <c r="E294">
        <v>102700753</v>
      </c>
      <c r="F294" t="s">
        <v>17</v>
      </c>
      <c r="G294" t="s">
        <v>17</v>
      </c>
      <c r="H294">
        <v>3.8099999427795401</v>
      </c>
      <c r="I294" t="s">
        <v>24</v>
      </c>
    </row>
    <row r="295" spans="1:9" x14ac:dyDescent="0.2">
      <c r="A295" t="s">
        <v>9</v>
      </c>
      <c r="B295">
        <v>1994</v>
      </c>
      <c r="C295">
        <v>0</v>
      </c>
      <c r="D295">
        <f t="shared" si="4"/>
        <v>0</v>
      </c>
      <c r="E295">
        <v>105293700</v>
      </c>
      <c r="F295" t="s">
        <v>17</v>
      </c>
      <c r="G295" t="s">
        <v>17</v>
      </c>
      <c r="H295">
        <v>3.8299999237060498</v>
      </c>
      <c r="I295" t="s">
        <v>24</v>
      </c>
    </row>
    <row r="296" spans="1:9" x14ac:dyDescent="0.2">
      <c r="A296" t="s">
        <v>9</v>
      </c>
      <c r="B296">
        <v>1995</v>
      </c>
      <c r="C296">
        <v>0</v>
      </c>
      <c r="D296">
        <f t="shared" si="4"/>
        <v>0</v>
      </c>
      <c r="E296">
        <v>107948335</v>
      </c>
      <c r="F296">
        <v>47.3</v>
      </c>
      <c r="G296" t="s">
        <v>17</v>
      </c>
      <c r="H296">
        <v>3.8299999237060498</v>
      </c>
      <c r="I296" t="s">
        <v>24</v>
      </c>
    </row>
    <row r="297" spans="1:9" x14ac:dyDescent="0.2">
      <c r="A297" t="s">
        <v>9</v>
      </c>
      <c r="B297">
        <v>1996</v>
      </c>
      <c r="C297">
        <v>0</v>
      </c>
      <c r="D297">
        <f t="shared" si="4"/>
        <v>0</v>
      </c>
      <c r="E297">
        <v>110668794</v>
      </c>
      <c r="F297">
        <v>47.4</v>
      </c>
      <c r="G297" s="2">
        <v>-1.0554592609405518</v>
      </c>
      <c r="H297">
        <v>3.8299999237060498</v>
      </c>
      <c r="I297" t="s">
        <v>24</v>
      </c>
    </row>
    <row r="298" spans="1:9" x14ac:dyDescent="0.2">
      <c r="A298" t="s">
        <v>9</v>
      </c>
      <c r="B298">
        <v>1997</v>
      </c>
      <c r="C298">
        <v>0</v>
      </c>
      <c r="D298">
        <f t="shared" si="4"/>
        <v>0</v>
      </c>
      <c r="E298">
        <v>113457663</v>
      </c>
      <c r="F298">
        <v>52.8</v>
      </c>
      <c r="G298" t="s">
        <v>17</v>
      </c>
      <c r="H298">
        <v>3.8299999237060498</v>
      </c>
      <c r="I298" t="s">
        <v>24</v>
      </c>
    </row>
    <row r="299" spans="1:9" x14ac:dyDescent="0.2">
      <c r="A299" t="s">
        <v>9</v>
      </c>
      <c r="B299">
        <v>1998</v>
      </c>
      <c r="C299">
        <v>0</v>
      </c>
      <c r="D299">
        <f t="shared" si="4"/>
        <v>0</v>
      </c>
      <c r="E299">
        <v>116319759</v>
      </c>
      <c r="F299">
        <v>52.3</v>
      </c>
      <c r="G299" s="2">
        <v>-0.58637291193008423</v>
      </c>
      <c r="H299">
        <v>3.8299999237060498</v>
      </c>
      <c r="I299" t="s">
        <v>24</v>
      </c>
    </row>
    <row r="300" spans="1:9" x14ac:dyDescent="0.2">
      <c r="A300" t="s">
        <v>9</v>
      </c>
      <c r="B300">
        <v>1999</v>
      </c>
      <c r="C300">
        <v>0</v>
      </c>
      <c r="D300">
        <f t="shared" si="4"/>
        <v>0</v>
      </c>
      <c r="E300">
        <v>119260063</v>
      </c>
      <c r="F300">
        <v>55.7</v>
      </c>
      <c r="G300" t="s">
        <v>17</v>
      </c>
      <c r="H300">
        <v>3.8499999046325701</v>
      </c>
      <c r="I300" t="s">
        <v>24</v>
      </c>
    </row>
    <row r="301" spans="1:9" x14ac:dyDescent="0.2">
      <c r="A301" t="s">
        <v>9</v>
      </c>
      <c r="B301">
        <v>2000</v>
      </c>
      <c r="C301">
        <v>0</v>
      </c>
      <c r="D301">
        <f t="shared" ref="D301:D360" si="5">(C301/E301)*1000</f>
        <v>0</v>
      </c>
      <c r="E301">
        <v>122283850</v>
      </c>
      <c r="F301">
        <v>53.1</v>
      </c>
      <c r="G301" s="2">
        <v>-1.4561434984207153</v>
      </c>
      <c r="H301">
        <v>3.8299999237060498</v>
      </c>
      <c r="I301" t="s">
        <v>24</v>
      </c>
    </row>
    <row r="302" spans="1:9" x14ac:dyDescent="0.2">
      <c r="A302" t="s">
        <v>9</v>
      </c>
      <c r="B302">
        <v>2001</v>
      </c>
      <c r="C302">
        <v>0</v>
      </c>
      <c r="D302">
        <f t="shared" si="5"/>
        <v>0</v>
      </c>
      <c r="E302">
        <v>125394046</v>
      </c>
      <c r="F302">
        <v>49.6</v>
      </c>
      <c r="G302" t="s">
        <v>17</v>
      </c>
      <c r="H302">
        <v>3.8199999332428001</v>
      </c>
      <c r="I302" t="s">
        <v>24</v>
      </c>
    </row>
    <row r="303" spans="1:9" x14ac:dyDescent="0.2">
      <c r="A303" t="s">
        <v>9</v>
      </c>
      <c r="B303">
        <v>2002</v>
      </c>
      <c r="C303">
        <v>0</v>
      </c>
      <c r="D303">
        <f t="shared" si="5"/>
        <v>0</v>
      </c>
      <c r="E303">
        <v>128596076</v>
      </c>
      <c r="F303">
        <v>50.9</v>
      </c>
      <c r="G303" s="2">
        <v>-1.6251184940338135</v>
      </c>
      <c r="H303">
        <v>3.8499999046325701</v>
      </c>
      <c r="I303" t="s">
        <v>24</v>
      </c>
    </row>
    <row r="304" spans="1:9" x14ac:dyDescent="0.2">
      <c r="A304" t="s">
        <v>9</v>
      </c>
      <c r="B304">
        <v>2003</v>
      </c>
      <c r="C304">
        <v>0</v>
      </c>
      <c r="D304">
        <f t="shared" si="5"/>
        <v>0</v>
      </c>
      <c r="E304">
        <v>131900631</v>
      </c>
      <c r="F304">
        <v>49.5</v>
      </c>
      <c r="G304" s="2">
        <v>-1.6339982748031616</v>
      </c>
      <c r="H304">
        <v>3.8399999141693102</v>
      </c>
      <c r="I304" t="s">
        <v>24</v>
      </c>
    </row>
    <row r="305" spans="1:9" x14ac:dyDescent="0.2">
      <c r="A305" t="s">
        <v>9</v>
      </c>
      <c r="B305">
        <v>2004</v>
      </c>
      <c r="C305">
        <v>130</v>
      </c>
      <c r="D305">
        <f t="shared" si="5"/>
        <v>9.6068278592864576E-4</v>
      </c>
      <c r="E305">
        <v>135320422</v>
      </c>
      <c r="F305">
        <v>49.2</v>
      </c>
      <c r="G305" s="2">
        <v>-1.7539869546890259</v>
      </c>
      <c r="H305">
        <v>3.8099999427795401</v>
      </c>
      <c r="I305" t="s">
        <v>24</v>
      </c>
    </row>
    <row r="306" spans="1:9" x14ac:dyDescent="0.2">
      <c r="A306" t="s">
        <v>9</v>
      </c>
      <c r="B306">
        <v>2005</v>
      </c>
      <c r="C306">
        <v>0</v>
      </c>
      <c r="D306">
        <f t="shared" si="5"/>
        <v>0</v>
      </c>
      <c r="E306">
        <v>138865016</v>
      </c>
      <c r="F306">
        <v>48.4</v>
      </c>
      <c r="G306" s="2">
        <v>-1.6671948432922363</v>
      </c>
      <c r="H306">
        <v>3.7699999809265101</v>
      </c>
      <c r="I306" t="s">
        <v>24</v>
      </c>
    </row>
    <row r="307" spans="1:9" x14ac:dyDescent="0.2">
      <c r="A307" t="s">
        <v>9</v>
      </c>
      <c r="B307">
        <v>2006</v>
      </c>
      <c r="C307">
        <v>0</v>
      </c>
      <c r="D307">
        <f t="shared" si="5"/>
        <v>0</v>
      </c>
      <c r="E307">
        <v>142538308</v>
      </c>
      <c r="F307">
        <v>48.7</v>
      </c>
      <c r="G307" s="2">
        <v>-2.0341408252716064</v>
      </c>
      <c r="H307">
        <v>3.6900000572204599</v>
      </c>
      <c r="I307" t="s">
        <v>24</v>
      </c>
    </row>
    <row r="308" spans="1:9" x14ac:dyDescent="0.2">
      <c r="A308" t="s">
        <v>9</v>
      </c>
      <c r="B308">
        <v>2007</v>
      </c>
      <c r="C308">
        <v>0</v>
      </c>
      <c r="D308">
        <f t="shared" si="5"/>
        <v>0</v>
      </c>
      <c r="E308">
        <v>146339977</v>
      </c>
      <c r="F308">
        <v>55.6</v>
      </c>
      <c r="G308" s="2">
        <v>-2.01133131980896</v>
      </c>
      <c r="H308">
        <v>3.6199998855590798</v>
      </c>
      <c r="I308" t="s">
        <v>24</v>
      </c>
    </row>
    <row r="309" spans="1:9" x14ac:dyDescent="0.2">
      <c r="A309" t="s">
        <v>9</v>
      </c>
      <c r="B309">
        <v>2008</v>
      </c>
      <c r="C309">
        <v>0</v>
      </c>
      <c r="D309">
        <f t="shared" si="5"/>
        <v>0</v>
      </c>
      <c r="E309">
        <v>150269623</v>
      </c>
      <c r="F309">
        <v>55.1</v>
      </c>
      <c r="G309" s="2">
        <v>-1.8606290817260742</v>
      </c>
      <c r="H309">
        <v>3.5899999141693102</v>
      </c>
      <c r="I309" t="s">
        <v>24</v>
      </c>
    </row>
    <row r="310" spans="1:9" x14ac:dyDescent="0.2">
      <c r="A310" t="s">
        <v>9</v>
      </c>
      <c r="B310">
        <v>2009</v>
      </c>
      <c r="C310">
        <v>405</v>
      </c>
      <c r="D310">
        <f t="shared" si="5"/>
        <v>2.6243329067247999E-3</v>
      </c>
      <c r="E310">
        <v>154324933</v>
      </c>
      <c r="F310">
        <v>55.1</v>
      </c>
      <c r="G310" s="2">
        <v>-1.9950715303421021</v>
      </c>
      <c r="H310">
        <v>3.75</v>
      </c>
      <c r="I310" t="s">
        <v>24</v>
      </c>
    </row>
    <row r="311" spans="1:9" x14ac:dyDescent="0.2">
      <c r="A311" t="s">
        <v>9</v>
      </c>
      <c r="B311">
        <v>2010</v>
      </c>
      <c r="C311">
        <v>0</v>
      </c>
      <c r="D311">
        <f t="shared" si="5"/>
        <v>0</v>
      </c>
      <c r="E311">
        <v>158503197</v>
      </c>
      <c r="F311">
        <v>56.8</v>
      </c>
      <c r="G311" s="2">
        <v>-2.2111232280731201</v>
      </c>
      <c r="H311">
        <v>3.7699999809265101</v>
      </c>
      <c r="I311" t="s">
        <v>24</v>
      </c>
    </row>
    <row r="312" spans="1:9" x14ac:dyDescent="0.2">
      <c r="A312" t="s">
        <v>9</v>
      </c>
      <c r="B312">
        <v>2011</v>
      </c>
      <c r="C312">
        <v>324</v>
      </c>
      <c r="D312">
        <f t="shared" si="5"/>
        <v>1.9901100009347989E-3</v>
      </c>
      <c r="E312">
        <v>162805071</v>
      </c>
      <c r="F312">
        <v>56.7</v>
      </c>
      <c r="G312" s="2">
        <v>-1.9564545154571533</v>
      </c>
      <c r="H312">
        <v>3.7699999809265101</v>
      </c>
      <c r="I312" t="s">
        <v>24</v>
      </c>
    </row>
    <row r="313" spans="1:9" x14ac:dyDescent="0.2">
      <c r="A313" t="s">
        <v>9</v>
      </c>
      <c r="B313">
        <v>2012</v>
      </c>
      <c r="C313">
        <v>811</v>
      </c>
      <c r="D313">
        <f t="shared" si="5"/>
        <v>4.8496440806742296E-3</v>
      </c>
      <c r="E313">
        <v>167228767</v>
      </c>
      <c r="F313">
        <v>56.3</v>
      </c>
      <c r="G313" s="2">
        <v>-2.0420737266540527</v>
      </c>
      <c r="H313">
        <v>3.7400000095367401</v>
      </c>
      <c r="I313" t="s">
        <v>24</v>
      </c>
    </row>
    <row r="314" spans="1:9" x14ac:dyDescent="0.2">
      <c r="A314" t="s">
        <v>9</v>
      </c>
      <c r="B314">
        <v>2013</v>
      </c>
      <c r="C314">
        <v>1629</v>
      </c>
      <c r="D314">
        <f t="shared" si="5"/>
        <v>9.4838454104321564E-3</v>
      </c>
      <c r="E314">
        <v>171765769</v>
      </c>
      <c r="F314">
        <v>55.1</v>
      </c>
      <c r="G314" s="2">
        <v>-2.0884783267974854</v>
      </c>
      <c r="H314">
        <v>3.7000000476837198</v>
      </c>
      <c r="I314" t="s">
        <v>24</v>
      </c>
    </row>
    <row r="315" spans="1:9" x14ac:dyDescent="0.2">
      <c r="A315" t="s">
        <v>9</v>
      </c>
      <c r="B315">
        <v>2014</v>
      </c>
      <c r="C315">
        <v>4780</v>
      </c>
      <c r="D315">
        <f t="shared" si="5"/>
        <v>2.709675267414054E-2</v>
      </c>
      <c r="E315">
        <v>176404902</v>
      </c>
      <c r="F315">
        <v>54.3</v>
      </c>
      <c r="G315" s="2">
        <v>-2.1302764415740967</v>
      </c>
      <c r="H315">
        <v>4.5599999427795401</v>
      </c>
      <c r="I315" t="s">
        <v>24</v>
      </c>
    </row>
    <row r="316" spans="1:9" x14ac:dyDescent="0.2">
      <c r="A316" t="s">
        <v>9</v>
      </c>
      <c r="B316">
        <v>2015</v>
      </c>
      <c r="C316">
        <f>2703+1919</f>
        <v>4622</v>
      </c>
      <c r="D316">
        <f t="shared" si="5"/>
        <v>2.5516534824979977E-2</v>
      </c>
      <c r="E316">
        <v>181137448</v>
      </c>
      <c r="F316">
        <v>55.6</v>
      </c>
      <c r="G316" s="2">
        <v>-1.9254428148269653</v>
      </c>
      <c r="H316">
        <v>4.3099999427795401</v>
      </c>
      <c r="I316" t="s">
        <v>24</v>
      </c>
    </row>
    <row r="317" spans="1:9" x14ac:dyDescent="0.2">
      <c r="A317" t="s">
        <v>9</v>
      </c>
      <c r="B317">
        <v>2016</v>
      </c>
      <c r="C317">
        <f>2286+162</f>
        <v>2448</v>
      </c>
      <c r="D317">
        <f t="shared" si="5"/>
        <v>1.3164100858113852E-2</v>
      </c>
      <c r="E317">
        <v>185960289</v>
      </c>
      <c r="F317">
        <v>57.5</v>
      </c>
      <c r="G317" s="2">
        <v>-1.8777098655700684</v>
      </c>
      <c r="H317">
        <v>7.0599999427795401</v>
      </c>
      <c r="I317" t="s">
        <v>24</v>
      </c>
    </row>
    <row r="318" spans="1:9" x14ac:dyDescent="0.2">
      <c r="A318" t="s">
        <v>9</v>
      </c>
      <c r="B318">
        <v>2017</v>
      </c>
      <c r="C318">
        <f>817+1062</f>
        <v>1879</v>
      </c>
      <c r="D318">
        <f t="shared" si="5"/>
        <v>9.8442259431440349E-3</v>
      </c>
      <c r="E318">
        <v>190873311</v>
      </c>
      <c r="F318">
        <v>57.1</v>
      </c>
      <c r="G318" s="2">
        <v>-1.9988268613815308</v>
      </c>
      <c r="H318">
        <v>8.3900003433227504</v>
      </c>
      <c r="I318" t="s">
        <v>24</v>
      </c>
    </row>
    <row r="319" spans="1:9" x14ac:dyDescent="0.2">
      <c r="A319" t="s">
        <v>9</v>
      </c>
      <c r="B319">
        <v>2018</v>
      </c>
      <c r="C319">
        <f>836+335</f>
        <v>1171</v>
      </c>
      <c r="D319">
        <f t="shared" si="5"/>
        <v>5.9783104243048392E-3</v>
      </c>
      <c r="E319">
        <v>195874740</v>
      </c>
      <c r="F319">
        <v>58.5</v>
      </c>
      <c r="G319" s="2">
        <v>-2.090505838394165</v>
      </c>
      <c r="H319">
        <v>8.4499998092651403</v>
      </c>
      <c r="I319" t="s">
        <v>24</v>
      </c>
    </row>
    <row r="320" spans="1:9" x14ac:dyDescent="0.2">
      <c r="A320" t="s">
        <v>9</v>
      </c>
      <c r="B320">
        <v>2019</v>
      </c>
      <c r="C320">
        <f>1018+309</f>
        <v>1327</v>
      </c>
      <c r="D320">
        <f t="shared" si="5"/>
        <v>6.6031858834295657E-3</v>
      </c>
      <c r="E320">
        <v>200963599</v>
      </c>
      <c r="F320">
        <v>57.3</v>
      </c>
      <c r="G320" s="2">
        <v>-1.934673547744751</v>
      </c>
      <c r="H320">
        <v>8.5299997329711896</v>
      </c>
      <c r="I320" t="s">
        <v>24</v>
      </c>
    </row>
    <row r="321" spans="1:9" x14ac:dyDescent="0.2">
      <c r="A321" t="s">
        <v>7</v>
      </c>
      <c r="B321">
        <v>1991</v>
      </c>
      <c r="C321">
        <v>0</v>
      </c>
      <c r="D321">
        <f t="shared" si="5"/>
        <v>0</v>
      </c>
      <c r="E321">
        <v>2422305</v>
      </c>
      <c r="F321" t="s">
        <v>17</v>
      </c>
      <c r="G321" t="s">
        <v>17</v>
      </c>
      <c r="H321">
        <v>19.590000152587901</v>
      </c>
      <c r="I321" t="s">
        <v>24</v>
      </c>
    </row>
    <row r="322" spans="1:9" x14ac:dyDescent="0.2">
      <c r="A322" t="s">
        <v>7</v>
      </c>
      <c r="B322">
        <v>1992</v>
      </c>
      <c r="C322">
        <v>0</v>
      </c>
      <c r="D322">
        <f t="shared" si="5"/>
        <v>0</v>
      </c>
      <c r="E322">
        <v>2489952</v>
      </c>
      <c r="F322" t="s">
        <v>17</v>
      </c>
      <c r="G322" t="s">
        <v>17</v>
      </c>
      <c r="H322">
        <v>19.719999313354499</v>
      </c>
      <c r="I322" t="s">
        <v>24</v>
      </c>
    </row>
    <row r="323" spans="1:9" x14ac:dyDescent="0.2">
      <c r="A323" t="s">
        <v>7</v>
      </c>
      <c r="B323">
        <v>1993</v>
      </c>
      <c r="C323">
        <v>53</v>
      </c>
      <c r="D323">
        <f t="shared" si="5"/>
        <v>2.070415212004658E-2</v>
      </c>
      <c r="E323">
        <v>2559873</v>
      </c>
      <c r="F323" t="s">
        <v>17</v>
      </c>
      <c r="G323" t="s">
        <v>17</v>
      </c>
      <c r="H323">
        <v>19.930000305175799</v>
      </c>
      <c r="I323" t="s">
        <v>24</v>
      </c>
    </row>
    <row r="324" spans="1:9" x14ac:dyDescent="0.2">
      <c r="A324" t="s">
        <v>7</v>
      </c>
      <c r="B324">
        <v>1994</v>
      </c>
      <c r="C324">
        <v>0</v>
      </c>
      <c r="D324">
        <f t="shared" si="5"/>
        <v>0</v>
      </c>
      <c r="E324">
        <v>2632345</v>
      </c>
      <c r="F324" t="s">
        <v>17</v>
      </c>
      <c r="G324" t="s">
        <v>17</v>
      </c>
      <c r="H324">
        <v>20</v>
      </c>
      <c r="I324" t="s">
        <v>24</v>
      </c>
    </row>
    <row r="325" spans="1:9" x14ac:dyDescent="0.2">
      <c r="A325" t="s">
        <v>7</v>
      </c>
      <c r="B325">
        <v>1995</v>
      </c>
      <c r="C325">
        <v>0</v>
      </c>
      <c r="D325">
        <f t="shared" si="5"/>
        <v>0</v>
      </c>
      <c r="E325">
        <v>2707537</v>
      </c>
      <c r="F325" t="s">
        <v>17</v>
      </c>
      <c r="G325" t="s">
        <v>17</v>
      </c>
      <c r="H325">
        <v>19.9899997711182</v>
      </c>
      <c r="I325" t="s">
        <v>24</v>
      </c>
    </row>
    <row r="326" spans="1:9" x14ac:dyDescent="0.2">
      <c r="A326" t="s">
        <v>7</v>
      </c>
      <c r="B326">
        <v>1996</v>
      </c>
      <c r="C326">
        <v>0</v>
      </c>
      <c r="D326">
        <f t="shared" si="5"/>
        <v>0</v>
      </c>
      <c r="E326">
        <v>2785810</v>
      </c>
      <c r="F326">
        <v>40.299999999999997</v>
      </c>
      <c r="G326" s="2">
        <v>-1.2223773002624512</v>
      </c>
      <c r="H326">
        <v>19.9899997711182</v>
      </c>
      <c r="I326" t="s">
        <v>24</v>
      </c>
    </row>
    <row r="327" spans="1:9" x14ac:dyDescent="0.2">
      <c r="A327" t="s">
        <v>7</v>
      </c>
      <c r="B327">
        <v>1997</v>
      </c>
      <c r="C327">
        <v>10033</v>
      </c>
      <c r="D327">
        <f t="shared" si="5"/>
        <v>3.4991350687759826</v>
      </c>
      <c r="E327">
        <v>2867280</v>
      </c>
      <c r="F327">
        <v>42.2</v>
      </c>
      <c r="G327" t="s">
        <v>17</v>
      </c>
      <c r="H327">
        <v>19.969999313354499</v>
      </c>
      <c r="I327" t="s">
        <v>24</v>
      </c>
    </row>
    <row r="328" spans="1:9" x14ac:dyDescent="0.2">
      <c r="A328" t="s">
        <v>7</v>
      </c>
      <c r="B328">
        <v>1998</v>
      </c>
      <c r="C328">
        <v>3272</v>
      </c>
      <c r="D328">
        <f t="shared" si="5"/>
        <v>1.1085336424037155</v>
      </c>
      <c r="E328">
        <v>2951647</v>
      </c>
      <c r="F328">
        <v>33.799999999999997</v>
      </c>
      <c r="G328" s="2">
        <v>-1.4972519874572754</v>
      </c>
      <c r="H328">
        <v>19.969999313354499</v>
      </c>
      <c r="I328" t="s">
        <v>24</v>
      </c>
    </row>
    <row r="329" spans="1:9" x14ac:dyDescent="0.2">
      <c r="A329" t="s">
        <v>7</v>
      </c>
      <c r="B329">
        <v>1999</v>
      </c>
      <c r="C329">
        <v>626</v>
      </c>
      <c r="D329">
        <f t="shared" si="5"/>
        <v>0.20602725154709681</v>
      </c>
      <c r="E329">
        <v>3038433</v>
      </c>
      <c r="F329">
        <v>41.6</v>
      </c>
      <c r="G329" t="s">
        <v>17</v>
      </c>
      <c r="H329">
        <v>20.049999237060501</v>
      </c>
      <c r="I329" t="s">
        <v>24</v>
      </c>
    </row>
    <row r="330" spans="1:9" x14ac:dyDescent="0.2">
      <c r="A330" t="s">
        <v>7</v>
      </c>
      <c r="B330">
        <v>2000</v>
      </c>
      <c r="C330">
        <v>0</v>
      </c>
      <c r="D330">
        <f t="shared" si="5"/>
        <v>0</v>
      </c>
      <c r="E330">
        <v>3127411</v>
      </c>
      <c r="F330">
        <v>40.6</v>
      </c>
      <c r="G330" s="2">
        <v>-0.92037373781204224</v>
      </c>
      <c r="H330">
        <v>20</v>
      </c>
      <c r="I330" t="s">
        <v>24</v>
      </c>
    </row>
    <row r="331" spans="1:9" x14ac:dyDescent="0.2">
      <c r="A331" t="s">
        <v>7</v>
      </c>
      <c r="B331">
        <v>2001</v>
      </c>
      <c r="C331">
        <v>0</v>
      </c>
      <c r="D331">
        <f t="shared" si="5"/>
        <v>0</v>
      </c>
      <c r="E331">
        <v>3217933</v>
      </c>
      <c r="F331">
        <v>44.3</v>
      </c>
      <c r="G331" t="s">
        <v>17</v>
      </c>
      <c r="H331">
        <v>19.959999084472699</v>
      </c>
      <c r="I331" t="s">
        <v>24</v>
      </c>
    </row>
    <row r="332" spans="1:9" x14ac:dyDescent="0.2">
      <c r="A332" t="s">
        <v>7</v>
      </c>
      <c r="B332">
        <v>2002</v>
      </c>
      <c r="C332">
        <v>167</v>
      </c>
      <c r="D332">
        <f t="shared" si="5"/>
        <v>5.0447273989415738E-2</v>
      </c>
      <c r="E332">
        <v>3310387</v>
      </c>
      <c r="F332">
        <v>45.3</v>
      </c>
      <c r="G332" s="2">
        <v>-1.5849508047103882</v>
      </c>
      <c r="H332">
        <v>20.040000915527301</v>
      </c>
      <c r="I332" t="s">
        <v>24</v>
      </c>
    </row>
    <row r="333" spans="1:9" x14ac:dyDescent="0.2">
      <c r="A333" t="s">
        <v>7</v>
      </c>
      <c r="B333">
        <v>2003</v>
      </c>
      <c r="C333">
        <v>0</v>
      </c>
      <c r="D333">
        <f t="shared" si="5"/>
        <v>0</v>
      </c>
      <c r="E333">
        <v>3406922</v>
      </c>
      <c r="F333">
        <v>47.7</v>
      </c>
      <c r="G333" s="2">
        <v>-1.1686685085296631</v>
      </c>
      <c r="H333">
        <v>20.030000686645501</v>
      </c>
      <c r="I333" t="s">
        <v>24</v>
      </c>
    </row>
    <row r="334" spans="1:9" x14ac:dyDescent="0.2">
      <c r="A334" t="s">
        <v>7</v>
      </c>
      <c r="B334">
        <v>2004</v>
      </c>
      <c r="C334">
        <v>0</v>
      </c>
      <c r="D334">
        <f t="shared" si="5"/>
        <v>0</v>
      </c>
      <c r="E334">
        <v>3510468</v>
      </c>
      <c r="F334">
        <v>45.9</v>
      </c>
      <c r="G334" s="2">
        <v>-1.1898758411407471</v>
      </c>
      <c r="H334">
        <v>19.940000534057599</v>
      </c>
      <c r="I334" t="s">
        <v>24</v>
      </c>
    </row>
    <row r="335" spans="1:9" x14ac:dyDescent="0.2">
      <c r="A335" t="s">
        <v>7</v>
      </c>
      <c r="B335">
        <v>2005</v>
      </c>
      <c r="C335">
        <v>0</v>
      </c>
      <c r="D335">
        <f t="shared" si="5"/>
        <v>0</v>
      </c>
      <c r="E335">
        <v>3622775</v>
      </c>
      <c r="F335">
        <v>46.2</v>
      </c>
      <c r="G335" s="2">
        <v>-1.1668318510055542</v>
      </c>
      <c r="H335">
        <v>19.799999237060501</v>
      </c>
      <c r="I335" t="s">
        <v>24</v>
      </c>
    </row>
    <row r="336" spans="1:9" x14ac:dyDescent="0.2">
      <c r="A336" t="s">
        <v>7</v>
      </c>
      <c r="B336">
        <v>2006</v>
      </c>
      <c r="C336">
        <v>0</v>
      </c>
      <c r="D336">
        <f t="shared" si="5"/>
        <v>0</v>
      </c>
      <c r="E336">
        <v>3745141</v>
      </c>
      <c r="F336">
        <v>43.8</v>
      </c>
      <c r="G336" s="2">
        <v>-0.9244086742401123</v>
      </c>
      <c r="H336">
        <v>18.610000610351602</v>
      </c>
      <c r="I336" t="s">
        <v>24</v>
      </c>
    </row>
    <row r="337" spans="1:9" x14ac:dyDescent="0.2">
      <c r="A337" t="s">
        <v>7</v>
      </c>
      <c r="B337">
        <v>2007</v>
      </c>
      <c r="C337">
        <v>0</v>
      </c>
      <c r="D337">
        <f t="shared" si="5"/>
        <v>0</v>
      </c>
      <c r="E337">
        <v>3876119</v>
      </c>
      <c r="F337">
        <v>44.4</v>
      </c>
      <c r="G337" s="2">
        <v>-0.77008002996444702</v>
      </c>
      <c r="H337">
        <v>17.4899997711182</v>
      </c>
      <c r="I337" t="s">
        <v>24</v>
      </c>
    </row>
    <row r="338" spans="1:9" x14ac:dyDescent="0.2">
      <c r="A338" t="s">
        <v>7</v>
      </c>
      <c r="B338">
        <v>2008</v>
      </c>
      <c r="C338">
        <v>0</v>
      </c>
      <c r="D338">
        <f t="shared" si="5"/>
        <v>0</v>
      </c>
      <c r="E338">
        <v>4011486</v>
      </c>
      <c r="F338">
        <v>45.3</v>
      </c>
      <c r="G338" s="2">
        <v>-0.72006583213806152</v>
      </c>
      <c r="H338">
        <v>16.5200004577637</v>
      </c>
      <c r="I338" t="s">
        <v>24</v>
      </c>
    </row>
    <row r="339" spans="1:9" x14ac:dyDescent="0.2">
      <c r="A339" t="s">
        <v>7</v>
      </c>
      <c r="B339">
        <v>2009</v>
      </c>
      <c r="C339">
        <v>0</v>
      </c>
      <c r="D339">
        <f t="shared" si="5"/>
        <v>0</v>
      </c>
      <c r="E339">
        <v>4145391</v>
      </c>
      <c r="F339">
        <v>45.4</v>
      </c>
      <c r="G339" s="2">
        <v>-0.24951182305812836</v>
      </c>
      <c r="H339">
        <v>16.100000381469702</v>
      </c>
      <c r="I339" t="s">
        <v>24</v>
      </c>
    </row>
    <row r="340" spans="1:9" x14ac:dyDescent="0.2">
      <c r="A340" t="s">
        <v>7</v>
      </c>
      <c r="B340">
        <v>2010</v>
      </c>
      <c r="C340">
        <v>0</v>
      </c>
      <c r="D340">
        <f t="shared" si="5"/>
        <v>0</v>
      </c>
      <c r="E340">
        <v>4273731</v>
      </c>
      <c r="F340">
        <v>43.2</v>
      </c>
      <c r="G340" s="2">
        <v>-0.31641584634780884</v>
      </c>
      <c r="H340">
        <v>13.949999809265099</v>
      </c>
      <c r="I340" t="s">
        <v>24</v>
      </c>
    </row>
    <row r="341" spans="1:9" x14ac:dyDescent="0.2">
      <c r="A341" t="s">
        <v>7</v>
      </c>
      <c r="B341">
        <v>2011</v>
      </c>
      <c r="C341">
        <v>0</v>
      </c>
      <c r="D341">
        <f t="shared" si="5"/>
        <v>0</v>
      </c>
      <c r="E341">
        <v>4394844</v>
      </c>
      <c r="F341">
        <v>43.6</v>
      </c>
      <c r="G341" s="2">
        <v>-0.35430037975311279</v>
      </c>
      <c r="H341">
        <v>11.8900003433228</v>
      </c>
      <c r="I341" t="s">
        <v>24</v>
      </c>
    </row>
    <row r="342" spans="1:9" x14ac:dyDescent="0.2">
      <c r="A342" t="s">
        <v>7</v>
      </c>
      <c r="B342">
        <v>2012</v>
      </c>
      <c r="C342">
        <v>0</v>
      </c>
      <c r="D342">
        <f t="shared" si="5"/>
        <v>0</v>
      </c>
      <c r="E342">
        <v>4510198</v>
      </c>
      <c r="F342">
        <v>43.8</v>
      </c>
      <c r="G342" s="2">
        <v>-0.48968985676765442</v>
      </c>
      <c r="H342">
        <v>10</v>
      </c>
      <c r="I342" t="s">
        <v>24</v>
      </c>
    </row>
    <row r="343" spans="1:9" x14ac:dyDescent="0.2">
      <c r="A343" t="s">
        <v>7</v>
      </c>
      <c r="B343">
        <v>2013</v>
      </c>
      <c r="C343">
        <v>0</v>
      </c>
      <c r="D343">
        <f t="shared" si="5"/>
        <v>0</v>
      </c>
      <c r="E343">
        <v>4622761</v>
      </c>
      <c r="F343">
        <v>43.5</v>
      </c>
      <c r="G343" s="2">
        <v>-0.47505012154579163</v>
      </c>
      <c r="H343">
        <v>10.0100002288818</v>
      </c>
      <c r="I343" t="s">
        <v>24</v>
      </c>
    </row>
    <row r="344" spans="1:9" x14ac:dyDescent="0.2">
      <c r="A344" t="s">
        <v>7</v>
      </c>
      <c r="B344">
        <v>2014</v>
      </c>
      <c r="C344">
        <v>0</v>
      </c>
      <c r="D344">
        <f t="shared" si="5"/>
        <v>0</v>
      </c>
      <c r="E344">
        <v>4736974</v>
      </c>
      <c r="F344">
        <v>43.7</v>
      </c>
      <c r="G344" s="2">
        <v>-0.35929158329963684</v>
      </c>
      <c r="H344">
        <v>9.9499998092651403</v>
      </c>
      <c r="I344" t="s">
        <v>24</v>
      </c>
    </row>
    <row r="345" spans="1:9" x14ac:dyDescent="0.2">
      <c r="A345" t="s">
        <v>7</v>
      </c>
      <c r="B345">
        <v>2015</v>
      </c>
      <c r="C345">
        <v>0</v>
      </c>
      <c r="D345">
        <f t="shared" si="5"/>
        <v>0</v>
      </c>
      <c r="E345">
        <v>4856095</v>
      </c>
      <c r="F345">
        <v>42.7</v>
      </c>
      <c r="G345" s="2">
        <v>-0.52636599540710449</v>
      </c>
      <c r="H345">
        <v>9.8999996185302699</v>
      </c>
      <c r="I345" t="s">
        <v>24</v>
      </c>
    </row>
    <row r="346" spans="1:9" x14ac:dyDescent="0.2">
      <c r="A346" t="s">
        <v>7</v>
      </c>
      <c r="B346">
        <v>2016</v>
      </c>
      <c r="C346">
        <v>51</v>
      </c>
      <c r="D346">
        <f t="shared" si="5"/>
        <v>1.0238909905422587E-2</v>
      </c>
      <c r="E346">
        <v>4980999</v>
      </c>
      <c r="F346">
        <v>42.8</v>
      </c>
      <c r="G346" s="2">
        <v>-0.51926952600479126</v>
      </c>
      <c r="H346">
        <v>9.8500003814697301</v>
      </c>
      <c r="I346" t="s">
        <v>24</v>
      </c>
    </row>
    <row r="347" spans="1:9" x14ac:dyDescent="0.2">
      <c r="A347" t="s">
        <v>7</v>
      </c>
      <c r="B347">
        <v>2017</v>
      </c>
      <c r="C347">
        <v>0</v>
      </c>
      <c r="D347">
        <f t="shared" si="5"/>
        <v>0</v>
      </c>
      <c r="E347">
        <v>5110702</v>
      </c>
      <c r="F347">
        <v>40</v>
      </c>
      <c r="G347" s="2">
        <v>-0.53166389465332031</v>
      </c>
      <c r="H347">
        <v>9.75</v>
      </c>
      <c r="I347" t="s">
        <v>24</v>
      </c>
    </row>
    <row r="348" spans="1:9" x14ac:dyDescent="0.2">
      <c r="A348" t="s">
        <v>7</v>
      </c>
      <c r="B348">
        <v>2018</v>
      </c>
      <c r="C348">
        <v>0</v>
      </c>
      <c r="D348">
        <f t="shared" si="5"/>
        <v>0</v>
      </c>
      <c r="E348">
        <v>5244363</v>
      </c>
      <c r="F348">
        <v>38.9</v>
      </c>
      <c r="G348" s="2">
        <v>-0.33956596255302429</v>
      </c>
      <c r="H348">
        <v>9.6599998474121094</v>
      </c>
      <c r="I348" t="s">
        <v>24</v>
      </c>
    </row>
    <row r="349" spans="1:9" x14ac:dyDescent="0.2">
      <c r="A349" t="s">
        <v>7</v>
      </c>
      <c r="B349">
        <v>2019</v>
      </c>
      <c r="C349">
        <v>0</v>
      </c>
      <c r="D349">
        <f t="shared" si="5"/>
        <v>0</v>
      </c>
      <c r="E349">
        <v>5380508</v>
      </c>
      <c r="F349">
        <v>39.700000000000003</v>
      </c>
      <c r="G349" s="2">
        <v>-0.89269912242889404</v>
      </c>
      <c r="H349">
        <v>9.6000003814697301</v>
      </c>
      <c r="I349" t="s">
        <v>24</v>
      </c>
    </row>
    <row r="350" spans="1:9" x14ac:dyDescent="0.2">
      <c r="A350" t="s">
        <v>6</v>
      </c>
      <c r="B350">
        <v>1991</v>
      </c>
      <c r="C350">
        <v>0</v>
      </c>
      <c r="D350">
        <f t="shared" si="5"/>
        <v>0</v>
      </c>
      <c r="E350">
        <v>121956</v>
      </c>
      <c r="F350" t="s">
        <v>17</v>
      </c>
      <c r="G350" t="s">
        <v>17</v>
      </c>
      <c r="H350">
        <v>14.1199998855591</v>
      </c>
      <c r="I350" t="s">
        <v>24</v>
      </c>
    </row>
    <row r="351" spans="1:9" x14ac:dyDescent="0.2">
      <c r="A351" t="s">
        <v>6</v>
      </c>
      <c r="B351">
        <v>1992</v>
      </c>
      <c r="C351">
        <v>0</v>
      </c>
      <c r="D351">
        <f t="shared" si="5"/>
        <v>0</v>
      </c>
      <c r="E351">
        <v>124576</v>
      </c>
      <c r="F351" t="s">
        <v>17</v>
      </c>
      <c r="G351" t="s">
        <v>17</v>
      </c>
      <c r="H351">
        <v>14.210000038146999</v>
      </c>
      <c r="I351" t="s">
        <v>24</v>
      </c>
    </row>
    <row r="352" spans="1:9" x14ac:dyDescent="0.2">
      <c r="A352" t="s">
        <v>6</v>
      </c>
      <c r="B352">
        <v>1993</v>
      </c>
      <c r="C352">
        <v>0</v>
      </c>
      <c r="D352">
        <f t="shared" si="5"/>
        <v>0</v>
      </c>
      <c r="E352">
        <v>127062</v>
      </c>
      <c r="F352" t="s">
        <v>17</v>
      </c>
      <c r="G352" t="s">
        <v>17</v>
      </c>
      <c r="H352">
        <v>14.3500003814697</v>
      </c>
      <c r="I352" t="s">
        <v>24</v>
      </c>
    </row>
    <row r="353" spans="1:9" x14ac:dyDescent="0.2">
      <c r="A353" t="s">
        <v>6</v>
      </c>
      <c r="B353">
        <v>1994</v>
      </c>
      <c r="C353">
        <v>0</v>
      </c>
      <c r="D353">
        <f t="shared" si="5"/>
        <v>0</v>
      </c>
      <c r="E353">
        <v>129427</v>
      </c>
      <c r="F353" t="s">
        <v>17</v>
      </c>
      <c r="G353" t="s">
        <v>17</v>
      </c>
      <c r="H353">
        <v>14.3999996185303</v>
      </c>
      <c r="I353" t="s">
        <v>24</v>
      </c>
    </row>
    <row r="354" spans="1:9" x14ac:dyDescent="0.2">
      <c r="A354" t="s">
        <v>6</v>
      </c>
      <c r="B354">
        <v>1995</v>
      </c>
      <c r="C354">
        <v>0</v>
      </c>
      <c r="D354">
        <f t="shared" si="5"/>
        <v>0</v>
      </c>
      <c r="E354">
        <v>131678</v>
      </c>
      <c r="F354" t="s">
        <v>17</v>
      </c>
      <c r="G354" t="s">
        <v>17</v>
      </c>
      <c r="H354">
        <v>14.3900003433228</v>
      </c>
      <c r="I354" t="s">
        <v>24</v>
      </c>
    </row>
    <row r="355" spans="1:9" x14ac:dyDescent="0.2">
      <c r="A355" t="s">
        <v>6</v>
      </c>
      <c r="B355">
        <v>1996</v>
      </c>
      <c r="C355">
        <v>0</v>
      </c>
      <c r="D355">
        <f t="shared" si="5"/>
        <v>0</v>
      </c>
      <c r="E355">
        <v>133806</v>
      </c>
      <c r="F355" t="s">
        <v>17</v>
      </c>
      <c r="G355" s="2">
        <v>1.0489296913146973</v>
      </c>
      <c r="H355">
        <v>14.3999996185303</v>
      </c>
      <c r="I355" t="s">
        <v>24</v>
      </c>
    </row>
    <row r="356" spans="1:9" x14ac:dyDescent="0.2">
      <c r="A356" t="s">
        <v>6</v>
      </c>
      <c r="B356">
        <v>1997</v>
      </c>
      <c r="C356">
        <v>0</v>
      </c>
      <c r="D356">
        <f t="shared" si="5"/>
        <v>0</v>
      </c>
      <c r="E356">
        <v>135832</v>
      </c>
      <c r="F356" t="s">
        <v>17</v>
      </c>
      <c r="G356" t="s">
        <v>17</v>
      </c>
      <c r="H356">
        <v>14.3800001144409</v>
      </c>
      <c r="I356" t="s">
        <v>24</v>
      </c>
    </row>
    <row r="357" spans="1:9" x14ac:dyDescent="0.2">
      <c r="A357" t="s">
        <v>6</v>
      </c>
      <c r="B357">
        <v>1998</v>
      </c>
      <c r="C357">
        <v>0</v>
      </c>
      <c r="D357">
        <f t="shared" si="5"/>
        <v>0</v>
      </c>
      <c r="E357">
        <v>137848</v>
      </c>
      <c r="F357" t="s">
        <v>17</v>
      </c>
      <c r="G357" s="2">
        <v>1.0826003551483154</v>
      </c>
      <c r="H357">
        <v>14.3800001144409</v>
      </c>
      <c r="I357" t="s">
        <v>24</v>
      </c>
    </row>
    <row r="358" spans="1:9" x14ac:dyDescent="0.2">
      <c r="A358" t="s">
        <v>6</v>
      </c>
      <c r="B358">
        <v>1999</v>
      </c>
      <c r="C358">
        <v>0</v>
      </c>
      <c r="D358">
        <f t="shared" si="5"/>
        <v>0</v>
      </c>
      <c r="E358">
        <v>139959</v>
      </c>
      <c r="F358" t="s">
        <v>17</v>
      </c>
      <c r="G358" t="s">
        <v>17</v>
      </c>
      <c r="H358">
        <v>14.439999580383301</v>
      </c>
      <c r="I358" t="s">
        <v>24</v>
      </c>
    </row>
    <row r="359" spans="1:9" x14ac:dyDescent="0.2">
      <c r="A359" t="s">
        <v>6</v>
      </c>
      <c r="B359">
        <v>2000</v>
      </c>
      <c r="C359">
        <v>0</v>
      </c>
      <c r="D359">
        <f t="shared" si="5"/>
        <v>0</v>
      </c>
      <c r="E359">
        <v>142262</v>
      </c>
      <c r="F359" t="s">
        <v>17</v>
      </c>
      <c r="G359" s="2">
        <v>1.1502082347869873</v>
      </c>
      <c r="H359">
        <v>14.3999996185303</v>
      </c>
      <c r="I359" t="s">
        <v>24</v>
      </c>
    </row>
    <row r="360" spans="1:9" x14ac:dyDescent="0.2">
      <c r="A360" t="s">
        <v>6</v>
      </c>
      <c r="B360">
        <v>2001</v>
      </c>
      <c r="C360">
        <v>0</v>
      </c>
      <c r="D360">
        <f t="shared" si="5"/>
        <v>0</v>
      </c>
      <c r="E360">
        <v>144755</v>
      </c>
      <c r="F360" t="s">
        <v>17</v>
      </c>
      <c r="G360" t="s">
        <v>17</v>
      </c>
      <c r="H360">
        <v>15.7299995422363</v>
      </c>
      <c r="I360" t="s">
        <v>24</v>
      </c>
    </row>
    <row r="361" spans="1:9" x14ac:dyDescent="0.2">
      <c r="A361" t="s">
        <v>6</v>
      </c>
      <c r="B361">
        <v>2002</v>
      </c>
      <c r="C361">
        <v>0</v>
      </c>
      <c r="D361">
        <f t="shared" ref="D361:D420" si="6">(C361/E361)*1000</f>
        <v>0</v>
      </c>
      <c r="E361">
        <v>147447</v>
      </c>
      <c r="F361" t="s">
        <v>17</v>
      </c>
      <c r="G361" s="2">
        <v>0.55448049306869507</v>
      </c>
      <c r="H361">
        <v>17.629999160766602</v>
      </c>
      <c r="I361" t="s">
        <v>24</v>
      </c>
    </row>
    <row r="362" spans="1:9" x14ac:dyDescent="0.2">
      <c r="A362" t="s">
        <v>6</v>
      </c>
      <c r="B362">
        <v>2003</v>
      </c>
      <c r="C362">
        <v>0</v>
      </c>
      <c r="D362">
        <f t="shared" si="6"/>
        <v>0</v>
      </c>
      <c r="E362">
        <v>150415</v>
      </c>
      <c r="F362" t="s">
        <v>17</v>
      </c>
      <c r="G362" s="2">
        <v>0.25962722301483154</v>
      </c>
      <c r="H362">
        <v>16.360000610351602</v>
      </c>
      <c r="I362" t="s">
        <v>24</v>
      </c>
    </row>
    <row r="363" spans="1:9" x14ac:dyDescent="0.2">
      <c r="A363" t="s">
        <v>6</v>
      </c>
      <c r="B363">
        <v>2004</v>
      </c>
      <c r="C363">
        <v>0</v>
      </c>
      <c r="D363">
        <f t="shared" si="6"/>
        <v>0</v>
      </c>
      <c r="E363">
        <v>153737</v>
      </c>
      <c r="F363" t="s">
        <v>17</v>
      </c>
      <c r="G363" s="2">
        <v>0.57210880517959595</v>
      </c>
      <c r="H363">
        <v>16.120000839233398</v>
      </c>
      <c r="I363" t="s">
        <v>24</v>
      </c>
    </row>
    <row r="364" spans="1:9" x14ac:dyDescent="0.2">
      <c r="A364" t="s">
        <v>6</v>
      </c>
      <c r="B364">
        <v>2005</v>
      </c>
      <c r="C364">
        <v>0</v>
      </c>
      <c r="D364">
        <f t="shared" si="6"/>
        <v>0</v>
      </c>
      <c r="E364">
        <v>157472</v>
      </c>
      <c r="F364" t="s">
        <v>17</v>
      </c>
      <c r="G364" s="2">
        <v>0.57575047016143799</v>
      </c>
      <c r="H364">
        <v>16.469999313354499</v>
      </c>
      <c r="I364" t="s">
        <v>24</v>
      </c>
    </row>
    <row r="365" spans="1:9" x14ac:dyDescent="0.2">
      <c r="A365" t="s">
        <v>6</v>
      </c>
      <c r="B365">
        <v>2006</v>
      </c>
      <c r="C365">
        <v>0</v>
      </c>
      <c r="D365">
        <f t="shared" si="6"/>
        <v>0</v>
      </c>
      <c r="E365">
        <v>161681</v>
      </c>
      <c r="F365" t="s">
        <v>17</v>
      </c>
      <c r="G365" s="2">
        <v>0.34614524245262146</v>
      </c>
      <c r="H365">
        <v>16.649999618530298</v>
      </c>
      <c r="I365" t="s">
        <v>24</v>
      </c>
    </row>
    <row r="366" spans="1:9" x14ac:dyDescent="0.2">
      <c r="A366" t="s">
        <v>6</v>
      </c>
      <c r="B366">
        <v>2007</v>
      </c>
      <c r="C366">
        <v>0</v>
      </c>
      <c r="D366">
        <f t="shared" si="6"/>
        <v>0</v>
      </c>
      <c r="E366">
        <v>166300</v>
      </c>
      <c r="F366" t="s">
        <v>17</v>
      </c>
      <c r="G366" s="2">
        <v>0.39393895864486694</v>
      </c>
      <c r="H366">
        <v>15.8900003433228</v>
      </c>
      <c r="I366" t="s">
        <v>24</v>
      </c>
    </row>
    <row r="367" spans="1:9" x14ac:dyDescent="0.2">
      <c r="A367" t="s">
        <v>6</v>
      </c>
      <c r="B367">
        <v>2008</v>
      </c>
      <c r="C367">
        <v>0</v>
      </c>
      <c r="D367">
        <f t="shared" si="6"/>
        <v>0</v>
      </c>
      <c r="E367">
        <v>171120</v>
      </c>
      <c r="F367" t="s">
        <v>17</v>
      </c>
      <c r="G367" s="2">
        <v>0.1756250411272049</v>
      </c>
      <c r="H367">
        <v>15.2600002288818</v>
      </c>
      <c r="I367" t="s">
        <v>24</v>
      </c>
    </row>
    <row r="368" spans="1:9" x14ac:dyDescent="0.2">
      <c r="A368" t="s">
        <v>6</v>
      </c>
      <c r="B368">
        <v>2009</v>
      </c>
      <c r="C368">
        <v>0</v>
      </c>
      <c r="D368">
        <f t="shared" si="6"/>
        <v>0</v>
      </c>
      <c r="E368">
        <v>175876</v>
      </c>
      <c r="F368">
        <v>43.8</v>
      </c>
      <c r="G368" s="2">
        <v>0.14600853621959686</v>
      </c>
      <c r="H368">
        <v>15.1199998855591</v>
      </c>
      <c r="I368" t="s">
        <v>24</v>
      </c>
    </row>
    <row r="369" spans="1:9" x14ac:dyDescent="0.2">
      <c r="A369" t="s">
        <v>6</v>
      </c>
      <c r="B369">
        <v>2010</v>
      </c>
      <c r="C369">
        <v>0</v>
      </c>
      <c r="D369">
        <f t="shared" si="6"/>
        <v>0</v>
      </c>
      <c r="E369">
        <v>180371</v>
      </c>
      <c r="F369">
        <v>48.8</v>
      </c>
      <c r="G369" s="2">
        <v>0.11544285714626312</v>
      </c>
      <c r="H369">
        <v>14.6400003433228</v>
      </c>
      <c r="I369" t="s">
        <v>24</v>
      </c>
    </row>
    <row r="370" spans="1:9" x14ac:dyDescent="0.2">
      <c r="A370" t="s">
        <v>6</v>
      </c>
      <c r="B370">
        <v>2011</v>
      </c>
      <c r="C370">
        <v>0</v>
      </c>
      <c r="D370">
        <f t="shared" si="6"/>
        <v>0</v>
      </c>
      <c r="E370">
        <v>184524</v>
      </c>
      <c r="F370">
        <v>49.5</v>
      </c>
      <c r="G370" s="2">
        <v>7.826399989426136E-3</v>
      </c>
      <c r="H370">
        <v>14.1000003814697</v>
      </c>
      <c r="I370" t="s">
        <v>24</v>
      </c>
    </row>
    <row r="371" spans="1:9" x14ac:dyDescent="0.2">
      <c r="A371" t="s">
        <v>6</v>
      </c>
      <c r="B371">
        <v>2012</v>
      </c>
      <c r="C371">
        <v>0</v>
      </c>
      <c r="D371">
        <f t="shared" si="6"/>
        <v>0</v>
      </c>
      <c r="E371">
        <v>188404</v>
      </c>
      <c r="F371">
        <v>50.2</v>
      </c>
      <c r="G371" s="2">
        <v>1.3335417956113815E-2</v>
      </c>
      <c r="H371">
        <v>13.5900001525879</v>
      </c>
      <c r="I371" t="s">
        <v>24</v>
      </c>
    </row>
    <row r="372" spans="1:9" x14ac:dyDescent="0.2">
      <c r="A372" t="s">
        <v>6</v>
      </c>
      <c r="B372">
        <v>2013</v>
      </c>
      <c r="C372">
        <v>0</v>
      </c>
      <c r="D372">
        <f t="shared" si="6"/>
        <v>0</v>
      </c>
      <c r="E372">
        <v>192087</v>
      </c>
      <c r="F372">
        <v>48</v>
      </c>
      <c r="G372" s="2">
        <v>0.11184072494506836</v>
      </c>
      <c r="H372">
        <v>13.6000003814697</v>
      </c>
      <c r="I372" t="s">
        <v>24</v>
      </c>
    </row>
    <row r="373" spans="1:9" x14ac:dyDescent="0.2">
      <c r="A373" t="s">
        <v>6</v>
      </c>
      <c r="B373">
        <v>2014</v>
      </c>
      <c r="C373">
        <v>0</v>
      </c>
      <c r="D373">
        <f t="shared" si="6"/>
        <v>0</v>
      </c>
      <c r="E373">
        <v>195727</v>
      </c>
      <c r="F373">
        <v>48.8</v>
      </c>
      <c r="G373" s="2">
        <v>0.18418300151824951</v>
      </c>
      <c r="H373">
        <v>13.5200004577637</v>
      </c>
      <c r="I373" t="s">
        <v>24</v>
      </c>
    </row>
    <row r="374" spans="1:9" x14ac:dyDescent="0.2">
      <c r="A374" t="s">
        <v>6</v>
      </c>
      <c r="B374">
        <v>2015</v>
      </c>
      <c r="C374">
        <v>0</v>
      </c>
      <c r="D374">
        <f t="shared" si="6"/>
        <v>0</v>
      </c>
      <c r="E374">
        <v>199432</v>
      </c>
      <c r="F374">
        <v>53.3</v>
      </c>
      <c r="G374" s="2">
        <v>0.14404256641864777</v>
      </c>
      <c r="H374">
        <v>13.460000038146999</v>
      </c>
      <c r="I374" t="s">
        <v>24</v>
      </c>
    </row>
    <row r="375" spans="1:9" x14ac:dyDescent="0.2">
      <c r="A375" t="s">
        <v>6</v>
      </c>
      <c r="B375">
        <v>2016</v>
      </c>
      <c r="C375">
        <v>0</v>
      </c>
      <c r="D375">
        <f t="shared" si="6"/>
        <v>0</v>
      </c>
      <c r="E375">
        <v>203227</v>
      </c>
      <c r="F375">
        <v>56.7</v>
      </c>
      <c r="G375" s="2">
        <v>0.22328685224056244</v>
      </c>
      <c r="H375">
        <v>13.3900003433228</v>
      </c>
      <c r="I375" t="s">
        <v>24</v>
      </c>
    </row>
    <row r="376" spans="1:9" x14ac:dyDescent="0.2">
      <c r="A376" t="s">
        <v>6</v>
      </c>
      <c r="B376">
        <v>2017</v>
      </c>
      <c r="C376">
        <v>0</v>
      </c>
      <c r="D376">
        <f t="shared" si="6"/>
        <v>0</v>
      </c>
      <c r="E376">
        <v>207089</v>
      </c>
      <c r="F376">
        <v>55.4</v>
      </c>
      <c r="G376" s="2">
        <v>0.18597619235515594</v>
      </c>
      <c r="H376">
        <v>13.2600002288818</v>
      </c>
      <c r="I376" t="s">
        <v>24</v>
      </c>
    </row>
    <row r="377" spans="1:9" x14ac:dyDescent="0.2">
      <c r="A377" t="s">
        <v>6</v>
      </c>
      <c r="B377">
        <v>2018</v>
      </c>
      <c r="C377">
        <v>0</v>
      </c>
      <c r="D377">
        <f t="shared" si="6"/>
        <v>0</v>
      </c>
      <c r="E377">
        <v>211028</v>
      </c>
      <c r="F377">
        <v>53.6</v>
      </c>
      <c r="G377" s="2">
        <v>0.52999216318130493</v>
      </c>
      <c r="H377">
        <v>13.1400003433228</v>
      </c>
      <c r="I377" t="s">
        <v>24</v>
      </c>
    </row>
    <row r="378" spans="1:9" x14ac:dyDescent="0.2">
      <c r="A378" t="s">
        <v>6</v>
      </c>
      <c r="B378">
        <v>2019</v>
      </c>
      <c r="C378">
        <v>0</v>
      </c>
      <c r="D378">
        <f t="shared" si="6"/>
        <v>0</v>
      </c>
      <c r="E378">
        <v>215056</v>
      </c>
      <c r="F378">
        <v>54</v>
      </c>
      <c r="G378" s="2">
        <v>0.51563727855682373</v>
      </c>
      <c r="H378">
        <v>13.050000190734901</v>
      </c>
      <c r="I378" t="s">
        <v>24</v>
      </c>
    </row>
    <row r="379" spans="1:9" x14ac:dyDescent="0.2">
      <c r="A379" t="s">
        <v>15</v>
      </c>
      <c r="B379">
        <v>1991</v>
      </c>
      <c r="C379">
        <v>8005</v>
      </c>
      <c r="D379">
        <f t="shared" si="6"/>
        <v>1.1004903746616388</v>
      </c>
      <c r="E379">
        <v>7274030</v>
      </c>
      <c r="F379" t="s">
        <v>17</v>
      </c>
      <c r="G379" t="s">
        <v>17</v>
      </c>
      <c r="H379">
        <v>13.2399997711182</v>
      </c>
      <c r="I379" t="s">
        <v>25</v>
      </c>
    </row>
    <row r="380" spans="1:9" x14ac:dyDescent="0.2">
      <c r="A380" t="s">
        <v>15</v>
      </c>
      <c r="B380">
        <v>1992</v>
      </c>
      <c r="C380">
        <v>1154</v>
      </c>
      <c r="D380">
        <f t="shared" si="6"/>
        <v>0.15818221494577941</v>
      </c>
      <c r="E380">
        <v>7295384</v>
      </c>
      <c r="F380" t="s">
        <v>17</v>
      </c>
      <c r="G380" t="s">
        <v>17</v>
      </c>
      <c r="H380">
        <v>13.329999923706101</v>
      </c>
      <c r="I380" t="s">
        <v>25</v>
      </c>
    </row>
    <row r="381" spans="1:9" x14ac:dyDescent="0.2">
      <c r="A381" t="s">
        <v>15</v>
      </c>
      <c r="B381">
        <v>1993</v>
      </c>
      <c r="C381">
        <v>25</v>
      </c>
      <c r="D381">
        <f t="shared" si="6"/>
        <v>3.4172309084434991E-3</v>
      </c>
      <c r="E381">
        <v>7315865</v>
      </c>
      <c r="F381" t="s">
        <v>17</v>
      </c>
      <c r="G381" t="s">
        <v>17</v>
      </c>
      <c r="H381">
        <v>13.4899997711182</v>
      </c>
      <c r="I381" t="s">
        <v>25</v>
      </c>
    </row>
    <row r="382" spans="1:9" x14ac:dyDescent="0.2">
      <c r="A382" t="s">
        <v>15</v>
      </c>
      <c r="B382">
        <v>1994</v>
      </c>
      <c r="C382">
        <v>237</v>
      </c>
      <c r="D382">
        <f t="shared" si="6"/>
        <v>3.2146063029613176E-2</v>
      </c>
      <c r="E382">
        <v>7372598</v>
      </c>
      <c r="F382" t="s">
        <v>17</v>
      </c>
      <c r="G382" t="s">
        <v>17</v>
      </c>
      <c r="H382">
        <v>13.539999961853001</v>
      </c>
      <c r="I382" t="s">
        <v>25</v>
      </c>
    </row>
    <row r="383" spans="1:9" x14ac:dyDescent="0.2">
      <c r="A383" t="s">
        <v>15</v>
      </c>
      <c r="B383">
        <v>1995</v>
      </c>
      <c r="C383">
        <v>104</v>
      </c>
      <c r="D383">
        <f t="shared" si="6"/>
        <v>1.3882146185139509E-2</v>
      </c>
      <c r="E383">
        <v>7491637</v>
      </c>
      <c r="F383" t="s">
        <v>17</v>
      </c>
      <c r="G383" t="s">
        <v>17</v>
      </c>
      <c r="H383">
        <v>13.5299997329712</v>
      </c>
      <c r="I383" t="s">
        <v>25</v>
      </c>
    </row>
    <row r="384" spans="1:9" x14ac:dyDescent="0.2">
      <c r="A384" t="s">
        <v>15</v>
      </c>
      <c r="B384">
        <v>1996</v>
      </c>
      <c r="C384">
        <v>256</v>
      </c>
      <c r="D384">
        <f t="shared" si="6"/>
        <v>3.3321679423055944E-2</v>
      </c>
      <c r="E384">
        <v>7682686</v>
      </c>
      <c r="F384" t="s">
        <v>17</v>
      </c>
      <c r="G384" s="2">
        <v>-2.5072715282440186</v>
      </c>
      <c r="H384">
        <v>13.5299997329712</v>
      </c>
      <c r="I384" t="s">
        <v>25</v>
      </c>
    </row>
    <row r="385" spans="1:9" x14ac:dyDescent="0.2">
      <c r="A385" t="s">
        <v>15</v>
      </c>
      <c r="B385">
        <v>1997</v>
      </c>
      <c r="C385">
        <v>0</v>
      </c>
      <c r="D385">
        <f t="shared" si="6"/>
        <v>0</v>
      </c>
      <c r="E385">
        <v>7936127</v>
      </c>
      <c r="F385" t="s">
        <v>17</v>
      </c>
      <c r="G385" t="s">
        <v>17</v>
      </c>
      <c r="H385">
        <v>13.5200004577637</v>
      </c>
      <c r="I385" t="s">
        <v>25</v>
      </c>
    </row>
    <row r="386" spans="1:9" x14ac:dyDescent="0.2">
      <c r="A386" t="s">
        <v>15</v>
      </c>
      <c r="B386">
        <v>1998</v>
      </c>
      <c r="C386">
        <v>0</v>
      </c>
      <c r="D386">
        <f t="shared" si="6"/>
        <v>0</v>
      </c>
      <c r="E386">
        <v>8235064</v>
      </c>
      <c r="F386" t="s">
        <v>17</v>
      </c>
      <c r="G386" s="2">
        <v>-2.140620231628418</v>
      </c>
      <c r="H386">
        <v>13.5200004577637</v>
      </c>
      <c r="I386" t="s">
        <v>25</v>
      </c>
    </row>
    <row r="387" spans="1:9" x14ac:dyDescent="0.2">
      <c r="A387" t="s">
        <v>15</v>
      </c>
      <c r="B387">
        <v>1999</v>
      </c>
      <c r="C387">
        <v>0</v>
      </c>
      <c r="D387">
        <f t="shared" si="6"/>
        <v>0</v>
      </c>
      <c r="E387">
        <v>8553601</v>
      </c>
      <c r="F387" t="s">
        <v>17</v>
      </c>
      <c r="G387" t="s">
        <v>17</v>
      </c>
      <c r="H387">
        <v>13.579999923706101</v>
      </c>
      <c r="I387" t="s">
        <v>25</v>
      </c>
    </row>
    <row r="388" spans="1:9" x14ac:dyDescent="0.2">
      <c r="A388" t="s">
        <v>15</v>
      </c>
      <c r="B388">
        <v>2000</v>
      </c>
      <c r="C388">
        <v>0</v>
      </c>
      <c r="D388">
        <f t="shared" si="6"/>
        <v>0</v>
      </c>
      <c r="E388">
        <v>8872254</v>
      </c>
      <c r="F388" t="s">
        <v>17</v>
      </c>
      <c r="G388" s="2">
        <v>-1.9493482112884521</v>
      </c>
      <c r="H388">
        <v>13.539999961853001</v>
      </c>
      <c r="I388" t="s">
        <v>25</v>
      </c>
    </row>
    <row r="389" spans="1:9" x14ac:dyDescent="0.2">
      <c r="A389" t="s">
        <v>15</v>
      </c>
      <c r="B389">
        <v>2001</v>
      </c>
      <c r="C389">
        <v>228</v>
      </c>
      <c r="D389">
        <f t="shared" si="6"/>
        <v>2.4818420057202105E-2</v>
      </c>
      <c r="E389">
        <v>9186725</v>
      </c>
      <c r="F389" t="s">
        <v>17</v>
      </c>
      <c r="G389" t="s">
        <v>17</v>
      </c>
      <c r="H389">
        <v>13.5100002288818</v>
      </c>
      <c r="I389" t="s">
        <v>25</v>
      </c>
    </row>
    <row r="390" spans="1:9" x14ac:dyDescent="0.2">
      <c r="A390" t="s">
        <v>15</v>
      </c>
      <c r="B390">
        <v>2002</v>
      </c>
      <c r="C390">
        <v>114</v>
      </c>
      <c r="D390">
        <f t="shared" si="6"/>
        <v>1.1998305081534797E-2</v>
      </c>
      <c r="E390">
        <v>9501342</v>
      </c>
      <c r="F390" t="s">
        <v>17</v>
      </c>
      <c r="G390" s="2">
        <v>-2.3757514953613281</v>
      </c>
      <c r="H390">
        <v>13.569999694824199</v>
      </c>
      <c r="I390" t="s">
        <v>25</v>
      </c>
    </row>
    <row r="391" spans="1:9" x14ac:dyDescent="0.2">
      <c r="A391" t="s">
        <v>15</v>
      </c>
      <c r="B391">
        <v>2003</v>
      </c>
      <c r="C391">
        <v>0</v>
      </c>
      <c r="D391">
        <f t="shared" si="6"/>
        <v>0</v>
      </c>
      <c r="E391">
        <v>9815412</v>
      </c>
      <c r="F391" t="s">
        <v>17</v>
      </c>
      <c r="G391" s="2">
        <v>-2.5758442878723145</v>
      </c>
      <c r="H391">
        <v>13.569999694824199</v>
      </c>
      <c r="I391" t="s">
        <v>25</v>
      </c>
    </row>
    <row r="392" spans="1:9" x14ac:dyDescent="0.2">
      <c r="A392" t="s">
        <v>15</v>
      </c>
      <c r="B392">
        <v>2004</v>
      </c>
      <c r="C392">
        <v>0</v>
      </c>
      <c r="D392">
        <f t="shared" si="6"/>
        <v>0</v>
      </c>
      <c r="E392">
        <v>10130243</v>
      </c>
      <c r="F392" t="s">
        <v>17</v>
      </c>
      <c r="G392" s="2">
        <v>-2.8804426193237305</v>
      </c>
      <c r="H392">
        <v>13.4899997711182</v>
      </c>
      <c r="I392" t="s">
        <v>25</v>
      </c>
    </row>
    <row r="393" spans="1:9" x14ac:dyDescent="0.2">
      <c r="A393" t="s">
        <v>15</v>
      </c>
      <c r="B393">
        <v>2005</v>
      </c>
      <c r="C393">
        <v>0</v>
      </c>
      <c r="D393">
        <f t="shared" si="6"/>
        <v>0</v>
      </c>
      <c r="E393">
        <v>10446863</v>
      </c>
      <c r="F393" t="s">
        <v>17</v>
      </c>
      <c r="G393" s="2">
        <v>-2.7095181941986084</v>
      </c>
      <c r="H393">
        <v>13.3900003433228</v>
      </c>
      <c r="I393" t="s">
        <v>25</v>
      </c>
    </row>
    <row r="394" spans="1:9" x14ac:dyDescent="0.2">
      <c r="A394" t="s">
        <v>15</v>
      </c>
      <c r="B394">
        <v>2006</v>
      </c>
      <c r="C394">
        <v>547</v>
      </c>
      <c r="D394">
        <f t="shared" si="6"/>
        <v>5.081798845307535E-2</v>
      </c>
      <c r="E394">
        <v>10763905</v>
      </c>
      <c r="F394" t="s">
        <v>17</v>
      </c>
      <c r="G394" s="2">
        <v>-2.7485587596893311</v>
      </c>
      <c r="H394">
        <v>13.189999580383301</v>
      </c>
      <c r="I394" t="s">
        <v>25</v>
      </c>
    </row>
    <row r="395" spans="1:9" x14ac:dyDescent="0.2">
      <c r="A395" t="s">
        <v>15</v>
      </c>
      <c r="B395">
        <v>2007</v>
      </c>
      <c r="C395">
        <v>1546</v>
      </c>
      <c r="D395">
        <f t="shared" si="6"/>
        <v>0.13952916218153213</v>
      </c>
      <c r="E395">
        <v>11080121</v>
      </c>
      <c r="F395" t="s">
        <v>17</v>
      </c>
      <c r="G395" s="2">
        <v>-3.22475266456604</v>
      </c>
      <c r="H395">
        <v>13.0200004577637</v>
      </c>
      <c r="I395" t="s">
        <v>25</v>
      </c>
    </row>
    <row r="396" spans="1:9" x14ac:dyDescent="0.2">
      <c r="A396" t="s">
        <v>15</v>
      </c>
      <c r="B396">
        <v>2008</v>
      </c>
      <c r="C396">
        <v>1491</v>
      </c>
      <c r="D396">
        <f t="shared" si="6"/>
        <v>0.13082174304749555</v>
      </c>
      <c r="E396">
        <v>11397188</v>
      </c>
      <c r="F396" t="s">
        <v>17</v>
      </c>
      <c r="G396" s="2">
        <v>-3.2805297374725342</v>
      </c>
      <c r="H396">
        <v>12.939999580383301</v>
      </c>
      <c r="I396" t="s">
        <v>25</v>
      </c>
    </row>
    <row r="397" spans="1:9" x14ac:dyDescent="0.2">
      <c r="A397" t="s">
        <v>15</v>
      </c>
      <c r="B397">
        <v>2009</v>
      </c>
      <c r="C397">
        <v>1496</v>
      </c>
      <c r="D397">
        <f t="shared" si="6"/>
        <v>0.12767019307215108</v>
      </c>
      <c r="E397">
        <v>11717692</v>
      </c>
      <c r="F397" t="s">
        <v>17</v>
      </c>
      <c r="G397" s="2">
        <v>-3.314936637878418</v>
      </c>
      <c r="H397">
        <v>13.319999694824199</v>
      </c>
      <c r="I397" t="s">
        <v>25</v>
      </c>
    </row>
    <row r="398" spans="1:9" x14ac:dyDescent="0.2">
      <c r="A398" t="s">
        <v>15</v>
      </c>
      <c r="B398">
        <v>2010</v>
      </c>
      <c r="C398">
        <v>2150</v>
      </c>
      <c r="D398">
        <f t="shared" si="6"/>
        <v>0.178513856370076</v>
      </c>
      <c r="E398">
        <v>12043883</v>
      </c>
      <c r="F398" t="s">
        <v>17</v>
      </c>
      <c r="G398" s="2">
        <v>-3.1309714317321777</v>
      </c>
      <c r="H398">
        <v>13.3900003433228</v>
      </c>
      <c r="I398" t="s">
        <v>25</v>
      </c>
    </row>
    <row r="399" spans="1:9" x14ac:dyDescent="0.2">
      <c r="A399" t="s">
        <v>15</v>
      </c>
      <c r="B399">
        <v>2011</v>
      </c>
      <c r="C399">
        <v>1938</v>
      </c>
      <c r="D399">
        <f t="shared" si="6"/>
        <v>0.15658958548361215</v>
      </c>
      <c r="E399">
        <v>12376302</v>
      </c>
      <c r="F399" t="s">
        <v>17</v>
      </c>
      <c r="G399" s="2">
        <v>-3.0838465690612793</v>
      </c>
      <c r="H399">
        <v>13.3800001144409</v>
      </c>
      <c r="I399" t="s">
        <v>25</v>
      </c>
    </row>
    <row r="400" spans="1:9" x14ac:dyDescent="0.2">
      <c r="A400" t="s">
        <v>15</v>
      </c>
      <c r="B400">
        <v>2012</v>
      </c>
      <c r="C400">
        <v>2646</v>
      </c>
      <c r="D400">
        <f t="shared" si="6"/>
        <v>0.20809232189664431</v>
      </c>
      <c r="E400">
        <v>12715510</v>
      </c>
      <c r="F400" t="s">
        <v>17</v>
      </c>
      <c r="G400" s="2">
        <v>-2.860755443572998</v>
      </c>
      <c r="H400">
        <v>13.3900003433228</v>
      </c>
      <c r="I400" t="s">
        <v>25</v>
      </c>
    </row>
    <row r="401" spans="1:9" x14ac:dyDescent="0.2">
      <c r="A401" t="s">
        <v>15</v>
      </c>
      <c r="B401">
        <v>2013</v>
      </c>
      <c r="C401">
        <v>940</v>
      </c>
      <c r="D401">
        <f t="shared" si="6"/>
        <v>7.1955079209529052E-2</v>
      </c>
      <c r="E401">
        <v>13063706</v>
      </c>
      <c r="F401" t="s">
        <v>17</v>
      </c>
      <c r="G401" s="2">
        <v>-2.7586865425109863</v>
      </c>
      <c r="H401">
        <v>13.4099998474121</v>
      </c>
      <c r="I401" t="s">
        <v>25</v>
      </c>
    </row>
    <row r="402" spans="1:9" x14ac:dyDescent="0.2">
      <c r="A402" t="s">
        <v>15</v>
      </c>
      <c r="B402">
        <v>2014</v>
      </c>
      <c r="C402">
        <v>1153</v>
      </c>
      <c r="D402">
        <f t="shared" si="6"/>
        <v>8.5893654567158556E-2</v>
      </c>
      <c r="E402">
        <v>13423576</v>
      </c>
      <c r="F402" t="s">
        <v>17</v>
      </c>
      <c r="G402" s="2">
        <v>-2.5158281326293945</v>
      </c>
      <c r="H402">
        <v>13.319999694824199</v>
      </c>
      <c r="I402" t="s">
        <v>25</v>
      </c>
    </row>
    <row r="403" spans="1:9" x14ac:dyDescent="0.2">
      <c r="A403" t="s">
        <v>15</v>
      </c>
      <c r="B403">
        <v>2015</v>
      </c>
      <c r="C403">
        <v>1202</v>
      </c>
      <c r="D403">
        <f t="shared" si="6"/>
        <v>8.7119119305430134E-2</v>
      </c>
      <c r="E403">
        <v>13797201</v>
      </c>
      <c r="F403" t="s">
        <v>17</v>
      </c>
      <c r="G403" s="2">
        <v>-2.3808279037475586</v>
      </c>
      <c r="H403">
        <v>13.25</v>
      </c>
      <c r="I403" t="s">
        <v>25</v>
      </c>
    </row>
    <row r="404" spans="1:9" x14ac:dyDescent="0.2">
      <c r="A404" t="s">
        <v>15</v>
      </c>
      <c r="B404">
        <v>2016</v>
      </c>
      <c r="C404">
        <v>1925</v>
      </c>
      <c r="D404">
        <f t="shared" si="6"/>
        <v>0.13570086819653124</v>
      </c>
      <c r="E404">
        <v>14185613</v>
      </c>
      <c r="F404" t="s">
        <v>17</v>
      </c>
      <c r="G404" s="2">
        <v>-2.3573625087738037</v>
      </c>
      <c r="H404">
        <v>13.170000076293899</v>
      </c>
      <c r="I404" t="s">
        <v>25</v>
      </c>
    </row>
    <row r="405" spans="1:9" x14ac:dyDescent="0.2">
      <c r="A405" t="s">
        <v>15</v>
      </c>
      <c r="B405">
        <v>2017</v>
      </c>
      <c r="C405">
        <v>1918</v>
      </c>
      <c r="D405">
        <f t="shared" si="6"/>
        <v>0.13146784257500402</v>
      </c>
      <c r="E405">
        <v>14589119</v>
      </c>
      <c r="F405" t="s">
        <v>17</v>
      </c>
      <c r="G405" s="2">
        <v>-2.2586665153503418</v>
      </c>
      <c r="H405">
        <v>13.0200004577637</v>
      </c>
      <c r="I405" t="s">
        <v>25</v>
      </c>
    </row>
    <row r="406" spans="1:9" x14ac:dyDescent="0.2">
      <c r="A406" t="s">
        <v>15</v>
      </c>
      <c r="B406">
        <v>2018</v>
      </c>
      <c r="C406">
        <f>2087+121</f>
        <v>2208</v>
      </c>
      <c r="D406">
        <f t="shared" si="6"/>
        <v>0.14712002555410877</v>
      </c>
      <c r="E406">
        <v>15008154</v>
      </c>
      <c r="F406" t="s">
        <v>17</v>
      </c>
      <c r="G406" s="2">
        <v>-2.2487635612487793</v>
      </c>
      <c r="H406">
        <v>12.8900003433228</v>
      </c>
      <c r="I406" t="s">
        <v>25</v>
      </c>
    </row>
    <row r="407" spans="1:9" x14ac:dyDescent="0.2">
      <c r="A407" t="s">
        <v>15</v>
      </c>
      <c r="B407">
        <v>2019</v>
      </c>
      <c r="C407">
        <f>1912+33</f>
        <v>1945</v>
      </c>
      <c r="D407">
        <f t="shared" si="6"/>
        <v>0.12594780580467213</v>
      </c>
      <c r="E407">
        <v>15442905</v>
      </c>
      <c r="F407" t="s">
        <v>17</v>
      </c>
      <c r="G407" s="2">
        <v>-2.3832266330718994</v>
      </c>
      <c r="H407">
        <v>12.789999961853001</v>
      </c>
      <c r="I407" t="s">
        <v>25</v>
      </c>
    </row>
    <row r="408" spans="1:9" x14ac:dyDescent="0.2">
      <c r="A408" t="s">
        <v>11</v>
      </c>
      <c r="B408">
        <v>1991</v>
      </c>
      <c r="C408">
        <v>0</v>
      </c>
      <c r="D408">
        <f t="shared" si="6"/>
        <v>0</v>
      </c>
      <c r="E408">
        <v>3862992</v>
      </c>
      <c r="F408" t="s">
        <v>17</v>
      </c>
      <c r="G408" t="s">
        <v>17</v>
      </c>
      <c r="H408">
        <v>4.2600002288818404</v>
      </c>
      <c r="I408" t="s">
        <v>24</v>
      </c>
    </row>
    <row r="409" spans="1:9" x14ac:dyDescent="0.2">
      <c r="A409" t="s">
        <v>11</v>
      </c>
      <c r="B409">
        <v>1992</v>
      </c>
      <c r="C409">
        <v>0</v>
      </c>
      <c r="D409">
        <f t="shared" si="6"/>
        <v>0</v>
      </c>
      <c r="E409">
        <v>3945905</v>
      </c>
      <c r="F409" t="s">
        <v>17</v>
      </c>
      <c r="G409" t="s">
        <v>17</v>
      </c>
      <c r="H409">
        <v>4.3200001716613796</v>
      </c>
      <c r="I409" t="s">
        <v>24</v>
      </c>
    </row>
    <row r="410" spans="1:9" x14ac:dyDescent="0.2">
      <c r="A410" t="s">
        <v>11</v>
      </c>
      <c r="B410">
        <v>1993</v>
      </c>
      <c r="C410">
        <v>0</v>
      </c>
      <c r="D410">
        <f t="shared" si="6"/>
        <v>0</v>
      </c>
      <c r="E410">
        <v>4029053</v>
      </c>
      <c r="F410" t="s">
        <v>17</v>
      </c>
      <c r="G410" t="s">
        <v>17</v>
      </c>
      <c r="H410">
        <v>4.4299998283386204</v>
      </c>
      <c r="I410" t="s">
        <v>24</v>
      </c>
    </row>
    <row r="411" spans="1:9" x14ac:dyDescent="0.2">
      <c r="A411" t="s">
        <v>11</v>
      </c>
      <c r="B411">
        <v>1994</v>
      </c>
      <c r="C411">
        <v>0</v>
      </c>
      <c r="D411">
        <f t="shared" si="6"/>
        <v>0</v>
      </c>
      <c r="E411">
        <v>4120616</v>
      </c>
      <c r="F411" t="s">
        <v>17</v>
      </c>
      <c r="G411" t="s">
        <v>17</v>
      </c>
      <c r="H411">
        <v>4.46000003814697</v>
      </c>
      <c r="I411" t="s">
        <v>24</v>
      </c>
    </row>
    <row r="412" spans="1:9" x14ac:dyDescent="0.2">
      <c r="A412" t="s">
        <v>11</v>
      </c>
      <c r="B412">
        <v>1995</v>
      </c>
      <c r="C412">
        <v>0</v>
      </c>
      <c r="D412">
        <f t="shared" si="6"/>
        <v>0</v>
      </c>
      <c r="E412">
        <v>4226291</v>
      </c>
      <c r="F412" t="s">
        <v>17</v>
      </c>
      <c r="G412" t="s">
        <v>17</v>
      </c>
      <c r="H412">
        <v>4.46000003814697</v>
      </c>
      <c r="I412" t="s">
        <v>24</v>
      </c>
    </row>
    <row r="413" spans="1:9" x14ac:dyDescent="0.2">
      <c r="A413" t="s">
        <v>11</v>
      </c>
      <c r="B413">
        <v>1996</v>
      </c>
      <c r="C413">
        <v>0</v>
      </c>
      <c r="D413">
        <f t="shared" si="6"/>
        <v>0</v>
      </c>
      <c r="E413">
        <v>4348805</v>
      </c>
      <c r="F413" t="s">
        <v>17</v>
      </c>
      <c r="G413" s="2">
        <v>-0.37700393795967102</v>
      </c>
      <c r="H413">
        <v>4.46000003814697</v>
      </c>
      <c r="I413" t="s">
        <v>24</v>
      </c>
    </row>
    <row r="414" spans="1:9" x14ac:dyDescent="0.2">
      <c r="A414" t="s">
        <v>11</v>
      </c>
      <c r="B414">
        <v>1997</v>
      </c>
      <c r="C414">
        <v>0</v>
      </c>
      <c r="D414">
        <f t="shared" si="6"/>
        <v>0</v>
      </c>
      <c r="E414">
        <v>4485951</v>
      </c>
      <c r="F414" t="s">
        <v>17</v>
      </c>
      <c r="G414" t="s">
        <v>17</v>
      </c>
      <c r="H414">
        <v>4.4499998092651403</v>
      </c>
      <c r="I414" t="s">
        <v>24</v>
      </c>
    </row>
    <row r="415" spans="1:9" x14ac:dyDescent="0.2">
      <c r="A415" t="s">
        <v>11</v>
      </c>
      <c r="B415">
        <v>1998</v>
      </c>
      <c r="C415">
        <v>0</v>
      </c>
      <c r="D415">
        <f t="shared" si="6"/>
        <v>0</v>
      </c>
      <c r="E415">
        <v>4632446</v>
      </c>
      <c r="F415" t="s">
        <v>17</v>
      </c>
      <c r="G415" s="2">
        <v>-0.61487627029418945</v>
      </c>
      <c r="H415">
        <v>4.4499998092651403</v>
      </c>
      <c r="I415" t="s">
        <v>24</v>
      </c>
    </row>
    <row r="416" spans="1:9" x14ac:dyDescent="0.2">
      <c r="A416" t="s">
        <v>11</v>
      </c>
      <c r="B416">
        <v>1999</v>
      </c>
      <c r="C416">
        <v>0</v>
      </c>
      <c r="D416">
        <f t="shared" si="6"/>
        <v>0</v>
      </c>
      <c r="E416">
        <v>4780448</v>
      </c>
      <c r="F416">
        <v>48.2</v>
      </c>
      <c r="G416" t="s">
        <v>17</v>
      </c>
      <c r="H416">
        <v>4.4899997711181596</v>
      </c>
      <c r="I416" t="s">
        <v>24</v>
      </c>
    </row>
    <row r="417" spans="1:9" x14ac:dyDescent="0.2">
      <c r="A417" t="s">
        <v>11</v>
      </c>
      <c r="B417">
        <v>2000</v>
      </c>
      <c r="C417">
        <v>0</v>
      </c>
      <c r="D417">
        <f t="shared" si="6"/>
        <v>0</v>
      </c>
      <c r="E417">
        <v>4924402</v>
      </c>
      <c r="F417">
        <v>46.4</v>
      </c>
      <c r="G417" s="2">
        <v>-0.29439571499824524</v>
      </c>
      <c r="H417">
        <v>4.46000003814697</v>
      </c>
      <c r="I417" t="s">
        <v>24</v>
      </c>
    </row>
    <row r="418" spans="1:9" x14ac:dyDescent="0.2">
      <c r="A418" t="s">
        <v>11</v>
      </c>
      <c r="B418">
        <v>2001</v>
      </c>
      <c r="C418">
        <v>0</v>
      </c>
      <c r="D418">
        <f t="shared" si="6"/>
        <v>0</v>
      </c>
      <c r="E418">
        <v>5062567</v>
      </c>
      <c r="F418">
        <v>45.3</v>
      </c>
      <c r="G418" t="s">
        <v>17</v>
      </c>
      <c r="H418">
        <v>4.4400000572204599</v>
      </c>
      <c r="I418" t="s">
        <v>24</v>
      </c>
    </row>
    <row r="419" spans="1:9" x14ac:dyDescent="0.2">
      <c r="A419" t="s">
        <v>11</v>
      </c>
      <c r="B419">
        <v>2002</v>
      </c>
      <c r="C419">
        <v>0</v>
      </c>
      <c r="D419">
        <f t="shared" si="6"/>
        <v>0</v>
      </c>
      <c r="E419">
        <v>5197031</v>
      </c>
      <c r="F419">
        <v>45.2</v>
      </c>
      <c r="G419" s="2">
        <v>5.447537824511528E-2</v>
      </c>
      <c r="H419">
        <v>4.4800000190734899</v>
      </c>
      <c r="I419" t="s">
        <v>24</v>
      </c>
    </row>
    <row r="420" spans="1:9" x14ac:dyDescent="0.2">
      <c r="A420" t="s">
        <v>11</v>
      </c>
      <c r="B420">
        <v>2003</v>
      </c>
      <c r="C420">
        <v>0</v>
      </c>
      <c r="D420">
        <f t="shared" si="6"/>
        <v>0</v>
      </c>
      <c r="E420">
        <v>5330639</v>
      </c>
      <c r="F420">
        <v>46.8</v>
      </c>
      <c r="G420" s="2">
        <v>-0.18675267696380615</v>
      </c>
      <c r="H420">
        <v>4.4800000190734899</v>
      </c>
      <c r="I420" t="s">
        <v>24</v>
      </c>
    </row>
    <row r="421" spans="1:9" x14ac:dyDescent="0.2">
      <c r="A421" t="s">
        <v>11</v>
      </c>
      <c r="B421">
        <v>2004</v>
      </c>
      <c r="C421">
        <v>0</v>
      </c>
      <c r="D421">
        <f t="shared" ref="D421:D484" si="7">(C421/E421)*1000</f>
        <v>0</v>
      </c>
      <c r="E421">
        <v>5467766</v>
      </c>
      <c r="F421">
        <v>47</v>
      </c>
      <c r="G421" s="2">
        <v>-0.31565994024276733</v>
      </c>
      <c r="H421">
        <v>4.4299998283386204</v>
      </c>
      <c r="I421" t="s">
        <v>24</v>
      </c>
    </row>
    <row r="422" spans="1:9" x14ac:dyDescent="0.2">
      <c r="A422" t="s">
        <v>11</v>
      </c>
      <c r="B422">
        <v>2005</v>
      </c>
      <c r="C422">
        <v>0</v>
      </c>
      <c r="D422">
        <f t="shared" si="7"/>
        <v>0</v>
      </c>
      <c r="E422">
        <v>5611640</v>
      </c>
      <c r="F422">
        <v>48.2</v>
      </c>
      <c r="G422" s="2">
        <v>-1.4464066028594971</v>
      </c>
      <c r="H422">
        <v>4.3600001335143999</v>
      </c>
      <c r="I422" t="s">
        <v>24</v>
      </c>
    </row>
    <row r="423" spans="1:9" x14ac:dyDescent="0.2">
      <c r="A423" t="s">
        <v>11</v>
      </c>
      <c r="B423">
        <v>2006</v>
      </c>
      <c r="C423">
        <v>0</v>
      </c>
      <c r="D423">
        <f t="shared" si="7"/>
        <v>0</v>
      </c>
      <c r="E423">
        <v>5762880</v>
      </c>
      <c r="F423">
        <v>47.3</v>
      </c>
      <c r="G423" s="2">
        <v>-0.52896898984909058</v>
      </c>
      <c r="H423">
        <v>4.2300000190734899</v>
      </c>
      <c r="I423" t="s">
        <v>24</v>
      </c>
    </row>
    <row r="424" spans="1:9" x14ac:dyDescent="0.2">
      <c r="A424" t="s">
        <v>11</v>
      </c>
      <c r="B424">
        <v>2007</v>
      </c>
      <c r="C424">
        <v>0</v>
      </c>
      <c r="D424">
        <f t="shared" si="7"/>
        <v>0</v>
      </c>
      <c r="E424">
        <v>5920359</v>
      </c>
      <c r="F424">
        <v>49.7</v>
      </c>
      <c r="G424" s="2">
        <v>-0.34081289172172546</v>
      </c>
      <c r="H424">
        <v>3.5999999046325701</v>
      </c>
      <c r="I424" t="s">
        <v>24</v>
      </c>
    </row>
    <row r="425" spans="1:9" x14ac:dyDescent="0.2">
      <c r="A425" t="s">
        <v>11</v>
      </c>
      <c r="B425">
        <v>2008</v>
      </c>
      <c r="C425">
        <v>0</v>
      </c>
      <c r="D425">
        <f t="shared" si="7"/>
        <v>0</v>
      </c>
      <c r="E425">
        <v>6083420</v>
      </c>
      <c r="F425">
        <v>48.9</v>
      </c>
      <c r="G425" s="2">
        <v>-0.16952160000801086</v>
      </c>
      <c r="H425">
        <v>3.0799999237060498</v>
      </c>
      <c r="I425" t="s">
        <v>24</v>
      </c>
    </row>
    <row r="426" spans="1:9" x14ac:dyDescent="0.2">
      <c r="A426" t="s">
        <v>11</v>
      </c>
      <c r="B426">
        <v>2009</v>
      </c>
      <c r="C426">
        <v>0</v>
      </c>
      <c r="D426">
        <f t="shared" si="7"/>
        <v>0</v>
      </c>
      <c r="E426">
        <v>6250835</v>
      </c>
      <c r="F426">
        <v>48.7</v>
      </c>
      <c r="G426" s="2">
        <v>-0.16502471268177032</v>
      </c>
      <c r="H426">
        <v>2.7999999523162802</v>
      </c>
      <c r="I426" t="s">
        <v>24</v>
      </c>
    </row>
    <row r="427" spans="1:9" x14ac:dyDescent="0.2">
      <c r="A427" t="s">
        <v>11</v>
      </c>
      <c r="B427">
        <v>2010</v>
      </c>
      <c r="C427">
        <v>0</v>
      </c>
      <c r="D427">
        <f t="shared" si="7"/>
        <v>0</v>
      </c>
      <c r="E427">
        <v>6421679</v>
      </c>
      <c r="F427">
        <v>47.1</v>
      </c>
      <c r="G427" s="2">
        <v>-0.17934839427471161</v>
      </c>
      <c r="H427">
        <v>2.3900001049041699</v>
      </c>
      <c r="I427" t="s">
        <v>24</v>
      </c>
    </row>
    <row r="428" spans="1:9" x14ac:dyDescent="0.2">
      <c r="A428" t="s">
        <v>11</v>
      </c>
      <c r="B428">
        <v>2011</v>
      </c>
      <c r="C428">
        <v>0</v>
      </c>
      <c r="D428">
        <f t="shared" si="7"/>
        <v>0</v>
      </c>
      <c r="E428">
        <v>6595943</v>
      </c>
      <c r="F428">
        <v>49.1</v>
      </c>
      <c r="G428" s="2">
        <v>-0.16259849071502686</v>
      </c>
      <c r="H428">
        <v>1.9800000190734901</v>
      </c>
      <c r="I428" t="s">
        <v>24</v>
      </c>
    </row>
    <row r="429" spans="1:9" x14ac:dyDescent="0.2">
      <c r="A429" t="s">
        <v>11</v>
      </c>
      <c r="B429">
        <v>2012</v>
      </c>
      <c r="C429">
        <v>0</v>
      </c>
      <c r="D429">
        <f t="shared" si="7"/>
        <v>0</v>
      </c>
      <c r="E429">
        <v>6773807</v>
      </c>
      <c r="F429">
        <v>48.3</v>
      </c>
      <c r="G429" s="2">
        <v>-0.38645777106285095</v>
      </c>
      <c r="H429">
        <v>2.0499999523162802</v>
      </c>
      <c r="I429" t="s">
        <v>24</v>
      </c>
    </row>
    <row r="430" spans="1:9" x14ac:dyDescent="0.2">
      <c r="A430" t="s">
        <v>11</v>
      </c>
      <c r="B430">
        <v>2013</v>
      </c>
      <c r="C430">
        <v>0</v>
      </c>
      <c r="D430">
        <f t="shared" si="7"/>
        <v>0</v>
      </c>
      <c r="E430">
        <v>6954721</v>
      </c>
      <c r="F430">
        <v>48.8</v>
      </c>
      <c r="G430" s="2">
        <v>-0.3537108302116394</v>
      </c>
      <c r="H430">
        <v>2.1199998855590798</v>
      </c>
      <c r="I430" t="s">
        <v>24</v>
      </c>
    </row>
    <row r="431" spans="1:9" x14ac:dyDescent="0.2">
      <c r="A431" t="s">
        <v>11</v>
      </c>
      <c r="B431">
        <v>2014</v>
      </c>
      <c r="C431">
        <v>0</v>
      </c>
      <c r="D431">
        <f t="shared" si="7"/>
        <v>0</v>
      </c>
      <c r="E431">
        <v>7137997</v>
      </c>
      <c r="F431">
        <v>49.9</v>
      </c>
      <c r="G431" s="2">
        <v>-0.16712686419487</v>
      </c>
      <c r="H431">
        <v>2.1600000858306898</v>
      </c>
      <c r="I431" t="s">
        <v>24</v>
      </c>
    </row>
    <row r="432" spans="1:9" x14ac:dyDescent="0.2">
      <c r="A432" t="s">
        <v>11</v>
      </c>
      <c r="B432">
        <v>2015</v>
      </c>
      <c r="C432">
        <v>0</v>
      </c>
      <c r="D432">
        <f t="shared" si="7"/>
        <v>0</v>
      </c>
      <c r="E432">
        <v>7323158</v>
      </c>
      <c r="F432">
        <v>53</v>
      </c>
      <c r="G432" s="2">
        <v>-0.23134805262088776</v>
      </c>
      <c r="H432">
        <v>2.2000000476837198</v>
      </c>
      <c r="I432" t="s">
        <v>24</v>
      </c>
    </row>
    <row r="433" spans="1:9" x14ac:dyDescent="0.2">
      <c r="A433" t="s">
        <v>11</v>
      </c>
      <c r="B433">
        <v>2016</v>
      </c>
      <c r="C433">
        <v>0</v>
      </c>
      <c r="D433">
        <f t="shared" si="7"/>
        <v>0</v>
      </c>
      <c r="E433">
        <v>7509952</v>
      </c>
      <c r="F433">
        <v>53.6</v>
      </c>
      <c r="G433" s="2">
        <v>-0.17235358059406281</v>
      </c>
      <c r="H433">
        <v>2.9500000476837198</v>
      </c>
      <c r="I433" t="s">
        <v>24</v>
      </c>
    </row>
    <row r="434" spans="1:9" x14ac:dyDescent="0.2">
      <c r="A434" t="s">
        <v>11</v>
      </c>
      <c r="B434">
        <v>2017</v>
      </c>
      <c r="C434">
        <v>0</v>
      </c>
      <c r="D434">
        <f t="shared" si="7"/>
        <v>0</v>
      </c>
      <c r="E434">
        <v>7698475</v>
      </c>
      <c r="F434">
        <v>53.2</v>
      </c>
      <c r="G434" s="2">
        <v>-0.88191181421279907</v>
      </c>
      <c r="H434">
        <v>3.7400000095367401</v>
      </c>
      <c r="I434" t="s">
        <v>24</v>
      </c>
    </row>
    <row r="435" spans="1:9" x14ac:dyDescent="0.2">
      <c r="A435" t="s">
        <v>11</v>
      </c>
      <c r="B435">
        <v>2018</v>
      </c>
      <c r="C435">
        <v>0</v>
      </c>
      <c r="D435">
        <f t="shared" si="7"/>
        <v>0</v>
      </c>
      <c r="E435">
        <v>7889094</v>
      </c>
      <c r="F435">
        <v>47.8</v>
      </c>
      <c r="G435" s="2">
        <v>-0.88430297374725342</v>
      </c>
      <c r="H435">
        <v>3.6600000858306898</v>
      </c>
      <c r="I435" t="s">
        <v>24</v>
      </c>
    </row>
    <row r="436" spans="1:9" x14ac:dyDescent="0.2">
      <c r="A436" t="s">
        <v>11</v>
      </c>
      <c r="B436">
        <v>2019</v>
      </c>
      <c r="C436">
        <v>0</v>
      </c>
      <c r="D436">
        <f t="shared" si="7"/>
        <v>0</v>
      </c>
      <c r="E436">
        <v>8082366</v>
      </c>
      <c r="F436">
        <v>50.3</v>
      </c>
      <c r="G436" s="2">
        <v>-0.8053930401802063</v>
      </c>
      <c r="H436">
        <v>3.5999999046325701</v>
      </c>
      <c r="I436" t="s">
        <v>24</v>
      </c>
    </row>
    <row r="437" spans="1:9" x14ac:dyDescent="0.2">
      <c r="A437" t="s">
        <v>26</v>
      </c>
      <c r="B437">
        <v>1991</v>
      </c>
      <c r="C437">
        <v>0</v>
      </c>
      <c r="D437">
        <f t="shared" si="7"/>
        <v>0</v>
      </c>
      <c r="E437">
        <v>12302124</v>
      </c>
      <c r="F437" t="s">
        <v>17</v>
      </c>
      <c r="G437" t="s">
        <v>17</v>
      </c>
      <c r="H437">
        <v>8.1499996185302699</v>
      </c>
      <c r="I437" t="s">
        <v>25</v>
      </c>
    </row>
    <row r="438" spans="1:9" x14ac:dyDescent="0.2">
      <c r="A438" t="s">
        <v>26</v>
      </c>
      <c r="B438">
        <v>1992</v>
      </c>
      <c r="C438">
        <v>0</v>
      </c>
      <c r="D438">
        <f t="shared" si="7"/>
        <v>0</v>
      </c>
      <c r="E438">
        <v>12954155</v>
      </c>
      <c r="F438" t="s">
        <v>17</v>
      </c>
      <c r="G438" t="s">
        <v>17</v>
      </c>
      <c r="H438">
        <v>8.2100000381469709</v>
      </c>
      <c r="I438" t="s">
        <v>25</v>
      </c>
    </row>
    <row r="439" spans="1:9" x14ac:dyDescent="0.2">
      <c r="A439" t="s">
        <v>26</v>
      </c>
      <c r="B439">
        <v>1993</v>
      </c>
      <c r="C439">
        <v>0</v>
      </c>
      <c r="D439">
        <f t="shared" si="7"/>
        <v>0</v>
      </c>
      <c r="E439">
        <v>13634076</v>
      </c>
      <c r="F439" t="s">
        <v>17</v>
      </c>
      <c r="G439" t="s">
        <v>17</v>
      </c>
      <c r="H439">
        <v>8.3100004196166992</v>
      </c>
      <c r="I439" t="s">
        <v>25</v>
      </c>
    </row>
    <row r="440" spans="1:9" x14ac:dyDescent="0.2">
      <c r="A440" t="s">
        <v>26</v>
      </c>
      <c r="B440">
        <v>1994</v>
      </c>
      <c r="C440" s="3">
        <v>1489</v>
      </c>
      <c r="D440">
        <f t="shared" si="7"/>
        <v>0.10414325803894679</v>
      </c>
      <c r="E440">
        <v>14297613</v>
      </c>
      <c r="F440" t="s">
        <v>17</v>
      </c>
      <c r="G440" t="s">
        <v>17</v>
      </c>
      <c r="H440">
        <v>8.3400001525878906</v>
      </c>
      <c r="I440" t="s">
        <v>25</v>
      </c>
    </row>
    <row r="441" spans="1:9" x14ac:dyDescent="0.2">
      <c r="A441" t="s">
        <v>26</v>
      </c>
      <c r="B441">
        <v>1995</v>
      </c>
      <c r="C441">
        <v>0</v>
      </c>
      <c r="D441">
        <f t="shared" si="7"/>
        <v>0</v>
      </c>
      <c r="E441">
        <v>14913315</v>
      </c>
      <c r="F441">
        <v>49.8</v>
      </c>
      <c r="G441" t="s">
        <v>17</v>
      </c>
      <c r="H441">
        <v>8.9099998474121094</v>
      </c>
      <c r="I441" t="s">
        <v>25</v>
      </c>
    </row>
    <row r="442" spans="1:9" x14ac:dyDescent="0.2">
      <c r="A442" t="s">
        <v>26</v>
      </c>
      <c r="B442">
        <v>1996</v>
      </c>
      <c r="C442">
        <v>0</v>
      </c>
      <c r="D442">
        <f t="shared" si="7"/>
        <v>0</v>
      </c>
      <c r="E442">
        <v>15469274</v>
      </c>
      <c r="F442">
        <v>49.6</v>
      </c>
      <c r="G442" s="1">
        <v>-1.3078869581222501</v>
      </c>
      <c r="H442">
        <v>9.5100002288818395</v>
      </c>
      <c r="I442" t="s">
        <v>25</v>
      </c>
    </row>
    <row r="443" spans="1:9" x14ac:dyDescent="0.2">
      <c r="A443" t="s">
        <v>26</v>
      </c>
      <c r="B443">
        <v>1997</v>
      </c>
      <c r="C443">
        <v>0</v>
      </c>
      <c r="D443">
        <f t="shared" si="7"/>
        <v>0</v>
      </c>
      <c r="E443">
        <v>15975668</v>
      </c>
      <c r="F443">
        <v>48.4</v>
      </c>
      <c r="G443" s="4" t="s">
        <v>17</v>
      </c>
      <c r="H443">
        <v>10.1199998855591</v>
      </c>
      <c r="I443" t="s">
        <v>25</v>
      </c>
    </row>
    <row r="444" spans="1:9" x14ac:dyDescent="0.2">
      <c r="A444" t="s">
        <v>26</v>
      </c>
      <c r="B444">
        <v>1998</v>
      </c>
      <c r="C444">
        <v>0</v>
      </c>
      <c r="D444">
        <f t="shared" si="7"/>
        <v>0</v>
      </c>
      <c r="E444">
        <v>16450310</v>
      </c>
      <c r="F444">
        <v>46.1</v>
      </c>
      <c r="G444" s="1">
        <v>-1.1892534494400024</v>
      </c>
      <c r="H444">
        <v>10.75</v>
      </c>
      <c r="I444" t="s">
        <v>25</v>
      </c>
    </row>
    <row r="445" spans="1:9" x14ac:dyDescent="0.2">
      <c r="A445" t="s">
        <v>26</v>
      </c>
      <c r="B445">
        <v>1999</v>
      </c>
      <c r="C445">
        <v>0</v>
      </c>
      <c r="D445">
        <f t="shared" si="7"/>
        <v>0</v>
      </c>
      <c r="E445">
        <v>16921149</v>
      </c>
      <c r="F445">
        <v>43.3</v>
      </c>
      <c r="G445" s="4" t="s">
        <v>17</v>
      </c>
      <c r="H445">
        <v>11.460000038146999</v>
      </c>
      <c r="I445" t="s">
        <v>25</v>
      </c>
    </row>
    <row r="446" spans="1:9" x14ac:dyDescent="0.2">
      <c r="A446" t="s">
        <v>26</v>
      </c>
      <c r="B446">
        <v>2000</v>
      </c>
      <c r="C446">
        <v>0</v>
      </c>
      <c r="D446">
        <f t="shared" si="7"/>
        <v>0</v>
      </c>
      <c r="E446">
        <v>17409072</v>
      </c>
      <c r="F446">
        <v>44.5</v>
      </c>
      <c r="G446" s="1">
        <v>-1.1435106992721558</v>
      </c>
      <c r="H446">
        <v>11.569999694824199</v>
      </c>
      <c r="I446" t="s">
        <v>25</v>
      </c>
    </row>
    <row r="447" spans="1:9" x14ac:dyDescent="0.2">
      <c r="A447" t="s">
        <v>26</v>
      </c>
      <c r="B447">
        <v>2001</v>
      </c>
      <c r="C447">
        <v>0</v>
      </c>
      <c r="D447">
        <f t="shared" si="7"/>
        <v>0</v>
      </c>
      <c r="E447">
        <v>17918373</v>
      </c>
      <c r="F447">
        <v>44.3</v>
      </c>
      <c r="G447" s="4" t="s">
        <v>17</v>
      </c>
      <c r="H447">
        <v>11.689999580383301</v>
      </c>
      <c r="I447" t="s">
        <v>25</v>
      </c>
    </row>
    <row r="448" spans="1:9" x14ac:dyDescent="0.2">
      <c r="A448" t="s">
        <v>26</v>
      </c>
      <c r="B448">
        <v>2002</v>
      </c>
      <c r="C448">
        <v>0</v>
      </c>
      <c r="D448">
        <f t="shared" si="7"/>
        <v>0</v>
      </c>
      <c r="E448">
        <v>18443691</v>
      </c>
      <c r="F448">
        <v>48.6</v>
      </c>
      <c r="G448" s="1">
        <v>-1.3057786226272583</v>
      </c>
      <c r="H448">
        <v>11.8900003433228</v>
      </c>
      <c r="I448" t="s">
        <v>25</v>
      </c>
    </row>
    <row r="449" spans="1:9" x14ac:dyDescent="0.2">
      <c r="A449" t="s">
        <v>26</v>
      </c>
      <c r="B449">
        <v>2003</v>
      </c>
      <c r="C449">
        <v>0</v>
      </c>
      <c r="D449">
        <f t="shared" si="7"/>
        <v>0</v>
      </c>
      <c r="E449">
        <v>18985000</v>
      </c>
      <c r="F449">
        <v>50.3</v>
      </c>
      <c r="G449" s="1">
        <v>-1.4802401065826416</v>
      </c>
      <c r="H449">
        <v>12.039999961853001</v>
      </c>
      <c r="I449" t="s">
        <v>25</v>
      </c>
    </row>
    <row r="450" spans="1:9" x14ac:dyDescent="0.2">
      <c r="A450" t="s">
        <v>26</v>
      </c>
      <c r="B450">
        <v>2004</v>
      </c>
      <c r="C450">
        <v>0</v>
      </c>
      <c r="D450">
        <f t="shared" si="7"/>
        <v>0</v>
      </c>
      <c r="E450">
        <v>19540098</v>
      </c>
      <c r="F450">
        <v>50.5</v>
      </c>
      <c r="G450" s="1">
        <v>-1.5525577068328857</v>
      </c>
      <c r="H450">
        <v>12.1199998855591</v>
      </c>
      <c r="I450" t="s">
        <v>25</v>
      </c>
    </row>
    <row r="451" spans="1:9" x14ac:dyDescent="0.2">
      <c r="A451" t="s">
        <v>26</v>
      </c>
      <c r="B451">
        <v>2005</v>
      </c>
      <c r="C451">
        <v>0</v>
      </c>
      <c r="D451">
        <f t="shared" si="7"/>
        <v>0</v>
      </c>
      <c r="E451">
        <v>20107409</v>
      </c>
      <c r="F451">
        <v>53.8</v>
      </c>
      <c r="G451" s="1">
        <v>-1.4367154836654663</v>
      </c>
      <c r="H451">
        <v>12.170000076293899</v>
      </c>
      <c r="I451" t="s">
        <v>25</v>
      </c>
    </row>
    <row r="452" spans="1:9" x14ac:dyDescent="0.2">
      <c r="A452" t="s">
        <v>26</v>
      </c>
      <c r="B452">
        <v>2006</v>
      </c>
      <c r="C452">
        <v>0</v>
      </c>
      <c r="D452">
        <f t="shared" si="7"/>
        <v>0</v>
      </c>
      <c r="E452">
        <v>20687646</v>
      </c>
      <c r="F452">
        <v>52.6</v>
      </c>
      <c r="G452" s="1">
        <v>-1.3456063270568848</v>
      </c>
      <c r="H452">
        <v>12.1300001144409</v>
      </c>
      <c r="I452" t="s">
        <v>25</v>
      </c>
    </row>
    <row r="453" spans="1:9" x14ac:dyDescent="0.2">
      <c r="A453" t="s">
        <v>26</v>
      </c>
      <c r="B453">
        <v>2007</v>
      </c>
      <c r="C453">
        <v>0</v>
      </c>
      <c r="D453">
        <f t="shared" si="7"/>
        <v>0</v>
      </c>
      <c r="E453">
        <v>21282515</v>
      </c>
      <c r="F453">
        <v>54.1</v>
      </c>
      <c r="G453" s="1">
        <v>-1.5915274620056152</v>
      </c>
      <c r="H453">
        <v>12.1000003814697</v>
      </c>
      <c r="I453" t="s">
        <v>25</v>
      </c>
    </row>
    <row r="454" spans="1:9" x14ac:dyDescent="0.2">
      <c r="A454" t="s">
        <v>26</v>
      </c>
      <c r="B454">
        <v>2008</v>
      </c>
      <c r="C454">
        <v>0</v>
      </c>
      <c r="D454">
        <f t="shared" si="7"/>
        <v>0</v>
      </c>
      <c r="E454">
        <v>21892146</v>
      </c>
      <c r="F454">
        <v>53.8</v>
      </c>
      <c r="G454" s="1">
        <v>-2.0110979080200195</v>
      </c>
      <c r="H454">
        <v>12.170000076293899</v>
      </c>
      <c r="I454" t="s">
        <v>25</v>
      </c>
    </row>
    <row r="455" spans="1:9" x14ac:dyDescent="0.2">
      <c r="A455" t="s">
        <v>26</v>
      </c>
      <c r="B455">
        <v>2009</v>
      </c>
      <c r="C455">
        <v>94</v>
      </c>
      <c r="D455">
        <f t="shared" si="7"/>
        <v>4.1747237354362093E-3</v>
      </c>
      <c r="E455">
        <v>22516460</v>
      </c>
      <c r="F455">
        <v>56.9</v>
      </c>
      <c r="G455" s="1">
        <v>-2.3270180225372314</v>
      </c>
      <c r="H455">
        <v>12.710000038146999</v>
      </c>
      <c r="I455" t="s">
        <v>25</v>
      </c>
    </row>
    <row r="456" spans="1:9" x14ac:dyDescent="0.2">
      <c r="A456" t="s">
        <v>26</v>
      </c>
      <c r="B456">
        <v>2010</v>
      </c>
      <c r="C456">
        <v>175</v>
      </c>
      <c r="D456">
        <f t="shared" si="7"/>
        <v>7.5578102302951153E-3</v>
      </c>
      <c r="E456">
        <v>23154855</v>
      </c>
      <c r="F456">
        <v>54.4</v>
      </c>
      <c r="G456" s="1">
        <v>-2.4237163066864014</v>
      </c>
      <c r="H456">
        <v>12.930000305175801</v>
      </c>
      <c r="I456" t="s">
        <v>25</v>
      </c>
    </row>
    <row r="457" spans="1:9" x14ac:dyDescent="0.2">
      <c r="A457" t="s">
        <v>26</v>
      </c>
      <c r="B457">
        <v>2011</v>
      </c>
      <c r="C457">
        <v>1140</v>
      </c>
      <c r="D457">
        <f t="shared" si="7"/>
        <v>4.7883893152048836E-2</v>
      </c>
      <c r="E457">
        <v>23807588</v>
      </c>
      <c r="F457">
        <v>54.2</v>
      </c>
      <c r="G457" s="1">
        <v>-2.4267964363098145</v>
      </c>
      <c r="H457">
        <v>13.079999923706101</v>
      </c>
      <c r="I457" t="s">
        <v>25</v>
      </c>
    </row>
    <row r="458" spans="1:9" x14ac:dyDescent="0.2">
      <c r="A458" t="s">
        <v>26</v>
      </c>
      <c r="B458">
        <v>2012</v>
      </c>
      <c r="C458">
        <v>2330</v>
      </c>
      <c r="D458">
        <f t="shared" si="7"/>
        <v>9.520627030947923E-2</v>
      </c>
      <c r="E458">
        <v>24473178</v>
      </c>
      <c r="F458">
        <v>55.3</v>
      </c>
      <c r="G458" s="1">
        <v>-2.4306631088256836</v>
      </c>
      <c r="H458">
        <v>13.2399997711182</v>
      </c>
      <c r="I458" t="s">
        <v>25</v>
      </c>
    </row>
    <row r="459" spans="1:9" x14ac:dyDescent="0.2">
      <c r="A459" t="s">
        <v>26</v>
      </c>
      <c r="B459">
        <v>2013</v>
      </c>
      <c r="C459">
        <v>582</v>
      </c>
      <c r="D459">
        <f t="shared" si="7"/>
        <v>2.3143813469771016E-2</v>
      </c>
      <c r="E459">
        <v>25147109</v>
      </c>
      <c r="F459">
        <v>55.9</v>
      </c>
      <c r="G459" s="1">
        <v>-2.3748281002044678</v>
      </c>
      <c r="H459">
        <v>13.4099998474121</v>
      </c>
      <c r="I459" t="s">
        <v>25</v>
      </c>
    </row>
    <row r="460" spans="1:9" x14ac:dyDescent="0.2">
      <c r="A460" t="s">
        <v>26</v>
      </c>
      <c r="B460">
        <v>2014</v>
      </c>
      <c r="C460">
        <v>1660</v>
      </c>
      <c r="D460">
        <f t="shared" si="7"/>
        <v>6.4282570690981478E-2</v>
      </c>
      <c r="E460">
        <v>25823485</v>
      </c>
      <c r="F460">
        <v>55.5</v>
      </c>
      <c r="G460" s="1">
        <v>-2.6655750274658203</v>
      </c>
      <c r="H460">
        <v>13.4700002670288</v>
      </c>
      <c r="I460" t="s">
        <v>25</v>
      </c>
    </row>
    <row r="461" spans="1:9" x14ac:dyDescent="0.2">
      <c r="A461" t="s">
        <v>26</v>
      </c>
      <c r="B461">
        <v>2015</v>
      </c>
      <c r="C461">
        <f xml:space="preserve"> 6548+246</f>
        <v>6794</v>
      </c>
      <c r="D461">
        <f t="shared" si="7"/>
        <v>0.25639778323473239</v>
      </c>
      <c r="E461">
        <v>26497889</v>
      </c>
      <c r="F461">
        <v>53.7</v>
      </c>
      <c r="G461" s="1">
        <v>-2.6802215576171875</v>
      </c>
      <c r="H461">
        <v>13.3999996185303</v>
      </c>
      <c r="I461" t="s">
        <v>25</v>
      </c>
    </row>
    <row r="462" spans="1:9" x14ac:dyDescent="0.2">
      <c r="A462" t="s">
        <v>26</v>
      </c>
      <c r="B462">
        <v>2016</v>
      </c>
      <c r="C462">
        <v>2966</v>
      </c>
      <c r="D462">
        <f t="shared" si="7"/>
        <v>0.10917171208555881</v>
      </c>
      <c r="E462">
        <v>27168210</v>
      </c>
      <c r="F462" t="s">
        <v>17</v>
      </c>
      <c r="G462" s="1">
        <v>-2.7948765754699707</v>
      </c>
      <c r="H462">
        <v>13.310000419616699</v>
      </c>
      <c r="I462" t="s">
        <v>25</v>
      </c>
    </row>
    <row r="463" spans="1:9" x14ac:dyDescent="0.2">
      <c r="A463" t="s">
        <v>26</v>
      </c>
      <c r="B463">
        <v>2017</v>
      </c>
      <c r="C463">
        <f>2660+26</f>
        <v>2686</v>
      </c>
      <c r="D463">
        <f t="shared" si="7"/>
        <v>9.6497836289301087E-2</v>
      </c>
      <c r="E463">
        <v>27834821</v>
      </c>
      <c r="F463" t="s">
        <v>17</v>
      </c>
      <c r="G463" s="1">
        <v>-2.9419429302215576</v>
      </c>
      <c r="H463">
        <v>13.1499996185303</v>
      </c>
      <c r="I463" t="s">
        <v>25</v>
      </c>
    </row>
    <row r="464" spans="1:9" x14ac:dyDescent="0.2">
      <c r="A464" t="s">
        <v>26</v>
      </c>
      <c r="B464">
        <v>2018</v>
      </c>
      <c r="C464">
        <v>4515</v>
      </c>
      <c r="D464">
        <f t="shared" si="7"/>
        <v>0.15842835145352485</v>
      </c>
      <c r="E464">
        <v>28498687</v>
      </c>
      <c r="F464" t="s">
        <v>17</v>
      </c>
      <c r="G464" s="1">
        <v>-2.9933106899261475</v>
      </c>
      <c r="H464">
        <v>13.0100002288818</v>
      </c>
      <c r="I464" t="s">
        <v>25</v>
      </c>
    </row>
    <row r="465" spans="1:9" x14ac:dyDescent="0.2">
      <c r="A465" t="s">
        <v>26</v>
      </c>
      <c r="B465">
        <v>2019</v>
      </c>
      <c r="C465">
        <v>1663</v>
      </c>
      <c r="D465">
        <f t="shared" si="7"/>
        <v>5.7026419589216379E-2</v>
      </c>
      <c r="E465">
        <v>29161922</v>
      </c>
      <c r="F465" t="s">
        <v>17</v>
      </c>
      <c r="G465" s="1">
        <v>-2.7682943344116211</v>
      </c>
      <c r="H465">
        <v>12.8999996185303</v>
      </c>
      <c r="I465" t="s">
        <v>25</v>
      </c>
    </row>
    <row r="466" spans="1:9" x14ac:dyDescent="0.2">
      <c r="A466" t="s">
        <v>27</v>
      </c>
      <c r="B466">
        <v>1991</v>
      </c>
      <c r="C466">
        <v>0</v>
      </c>
      <c r="D466">
        <f t="shared" si="7"/>
        <v>0</v>
      </c>
      <c r="E466">
        <v>1893768</v>
      </c>
      <c r="F466" t="s">
        <v>17</v>
      </c>
      <c r="G466" s="4" t="s">
        <v>17</v>
      </c>
      <c r="H466">
        <v>3.1900000572204599</v>
      </c>
      <c r="I466" t="s">
        <v>25</v>
      </c>
    </row>
    <row r="467" spans="1:9" x14ac:dyDescent="0.2">
      <c r="A467" t="s">
        <v>27</v>
      </c>
      <c r="B467">
        <v>1992</v>
      </c>
      <c r="C467">
        <v>0</v>
      </c>
      <c r="D467">
        <f t="shared" si="7"/>
        <v>0</v>
      </c>
      <c r="E467">
        <v>1983275</v>
      </c>
      <c r="F467" t="s">
        <v>17</v>
      </c>
      <c r="G467" s="4" t="s">
        <v>17</v>
      </c>
      <c r="H467">
        <v>3.1600000858306898</v>
      </c>
      <c r="I467" t="s">
        <v>25</v>
      </c>
    </row>
    <row r="468" spans="1:9" x14ac:dyDescent="0.2">
      <c r="A468" t="s">
        <v>27</v>
      </c>
      <c r="B468">
        <v>1993</v>
      </c>
      <c r="C468">
        <v>0</v>
      </c>
      <c r="D468">
        <f t="shared" si="7"/>
        <v>0</v>
      </c>
      <c r="E468">
        <v>2072104</v>
      </c>
      <c r="F468" t="s">
        <v>17</v>
      </c>
      <c r="G468" s="4" t="s">
        <v>17</v>
      </c>
      <c r="H468">
        <v>3.1199998855590798</v>
      </c>
      <c r="I468" t="s">
        <v>25</v>
      </c>
    </row>
    <row r="469" spans="1:9" x14ac:dyDescent="0.2">
      <c r="A469" t="s">
        <v>27</v>
      </c>
      <c r="B469">
        <v>1994</v>
      </c>
      <c r="C469">
        <v>0</v>
      </c>
      <c r="D469">
        <f t="shared" si="7"/>
        <v>0</v>
      </c>
      <c r="E469">
        <v>2148419</v>
      </c>
      <c r="F469" t="s">
        <v>17</v>
      </c>
      <c r="G469" s="4" t="s">
        <v>17</v>
      </c>
      <c r="H469">
        <v>3.1600000858306898</v>
      </c>
      <c r="I469" t="s">
        <v>25</v>
      </c>
    </row>
    <row r="470" spans="1:9" x14ac:dyDescent="0.2">
      <c r="A470" t="s">
        <v>27</v>
      </c>
      <c r="B470">
        <v>1995</v>
      </c>
      <c r="C470">
        <v>0</v>
      </c>
      <c r="D470">
        <f t="shared" si="7"/>
        <v>0</v>
      </c>
      <c r="E470">
        <v>2204277</v>
      </c>
      <c r="F470">
        <v>70.2</v>
      </c>
      <c r="G470" s="4" t="s">
        <v>17</v>
      </c>
      <c r="H470">
        <v>3.21000003814697</v>
      </c>
      <c r="I470" t="s">
        <v>25</v>
      </c>
    </row>
    <row r="471" spans="1:9" x14ac:dyDescent="0.2">
      <c r="A471" t="s">
        <v>27</v>
      </c>
      <c r="B471">
        <v>1996</v>
      </c>
      <c r="C471">
        <v>0</v>
      </c>
      <c r="D471">
        <f t="shared" si="7"/>
        <v>0</v>
      </c>
      <c r="E471">
        <v>2236654</v>
      </c>
      <c r="F471">
        <v>65.400000000000006</v>
      </c>
      <c r="G471" s="1">
        <v>0.87447291612625122</v>
      </c>
      <c r="H471">
        <v>3.2599999904632599</v>
      </c>
      <c r="I471" t="s">
        <v>25</v>
      </c>
    </row>
    <row r="472" spans="1:9" x14ac:dyDescent="0.2">
      <c r="A472" t="s">
        <v>27</v>
      </c>
      <c r="B472">
        <v>1997</v>
      </c>
      <c r="C472">
        <v>0</v>
      </c>
      <c r="D472">
        <f t="shared" si="7"/>
        <v>0</v>
      </c>
      <c r="E472">
        <v>2249762</v>
      </c>
      <c r="F472">
        <v>64.5</v>
      </c>
      <c r="G472" s="4" t="s">
        <v>17</v>
      </c>
      <c r="H472">
        <v>3.3299999237060498</v>
      </c>
      <c r="I472" t="s">
        <v>25</v>
      </c>
    </row>
    <row r="473" spans="1:9" x14ac:dyDescent="0.2">
      <c r="A473" t="s">
        <v>27</v>
      </c>
      <c r="B473">
        <v>1998</v>
      </c>
      <c r="C473">
        <v>0</v>
      </c>
      <c r="D473">
        <f t="shared" si="7"/>
        <v>0</v>
      </c>
      <c r="E473">
        <v>2251864</v>
      </c>
      <c r="F473">
        <v>64.900000000000006</v>
      </c>
      <c r="G473" s="1">
        <v>0.85515516996383667</v>
      </c>
      <c r="H473">
        <v>3.3900001049041699</v>
      </c>
      <c r="I473" t="s">
        <v>25</v>
      </c>
    </row>
    <row r="474" spans="1:9" x14ac:dyDescent="0.2">
      <c r="A474" t="s">
        <v>27</v>
      </c>
      <c r="B474">
        <v>1999</v>
      </c>
      <c r="C474">
        <v>0</v>
      </c>
      <c r="D474">
        <f t="shared" si="7"/>
        <v>0</v>
      </c>
      <c r="E474">
        <v>2254904</v>
      </c>
      <c r="F474">
        <v>64.900000000000006</v>
      </c>
      <c r="G474" s="4" t="s">
        <v>17</v>
      </c>
      <c r="H474">
        <v>3.4200000762939502</v>
      </c>
      <c r="I474" t="s">
        <v>25</v>
      </c>
    </row>
    <row r="475" spans="1:9" x14ac:dyDescent="0.2">
      <c r="A475" t="s">
        <v>27</v>
      </c>
      <c r="B475">
        <v>2000</v>
      </c>
      <c r="C475">
        <v>0</v>
      </c>
      <c r="D475">
        <f t="shared" si="7"/>
        <v>0</v>
      </c>
      <c r="E475">
        <v>2267973</v>
      </c>
      <c r="F475">
        <v>64.099999999999994</v>
      </c>
      <c r="G475" s="1">
        <v>1.1225180625915527</v>
      </c>
      <c r="H475">
        <v>3.4900000095367401</v>
      </c>
      <c r="I475" t="s">
        <v>25</v>
      </c>
    </row>
    <row r="476" spans="1:9" x14ac:dyDescent="0.2">
      <c r="A476" t="s">
        <v>27</v>
      </c>
      <c r="B476">
        <v>2001</v>
      </c>
      <c r="C476">
        <v>0</v>
      </c>
      <c r="D476">
        <f t="shared" si="7"/>
        <v>0</v>
      </c>
      <c r="E476">
        <v>2294962</v>
      </c>
      <c r="F476">
        <v>67.7</v>
      </c>
      <c r="G476" s="4" t="s">
        <v>17</v>
      </c>
      <c r="H476">
        <v>3.5499999523162802</v>
      </c>
      <c r="I476" t="s">
        <v>25</v>
      </c>
    </row>
    <row r="477" spans="1:9" x14ac:dyDescent="0.2">
      <c r="A477" t="s">
        <v>27</v>
      </c>
      <c r="B477">
        <v>2002</v>
      </c>
      <c r="C477">
        <v>0</v>
      </c>
      <c r="D477">
        <f t="shared" si="7"/>
        <v>0</v>
      </c>
      <c r="E477">
        <v>2334858</v>
      </c>
      <c r="F477">
        <v>64</v>
      </c>
      <c r="G477" s="1">
        <v>0.92679262161254883</v>
      </c>
      <c r="H477">
        <v>3.5899999141693102</v>
      </c>
      <c r="I477" t="s">
        <v>25</v>
      </c>
    </row>
    <row r="478" spans="1:9" x14ac:dyDescent="0.2">
      <c r="A478" t="s">
        <v>27</v>
      </c>
      <c r="B478">
        <v>2003</v>
      </c>
      <c r="C478">
        <v>0</v>
      </c>
      <c r="D478">
        <f t="shared" si="7"/>
        <v>0</v>
      </c>
      <c r="E478">
        <v>2386166</v>
      </c>
      <c r="F478">
        <v>64.599999999999994</v>
      </c>
      <c r="G478" s="1">
        <v>1.0612413883209229</v>
      </c>
      <c r="H478">
        <v>3.6300001144409202</v>
      </c>
      <c r="I478" t="s">
        <v>25</v>
      </c>
    </row>
    <row r="479" spans="1:9" x14ac:dyDescent="0.2">
      <c r="A479" t="s">
        <v>27</v>
      </c>
      <c r="B479">
        <v>2004</v>
      </c>
      <c r="C479">
        <v>0</v>
      </c>
      <c r="D479">
        <f t="shared" si="7"/>
        <v>0</v>
      </c>
      <c r="E479">
        <v>2445517</v>
      </c>
      <c r="F479">
        <v>66.900000000000006</v>
      </c>
      <c r="G479" s="1">
        <v>1.1154557466506958</v>
      </c>
      <c r="H479">
        <v>3.71000003814697</v>
      </c>
      <c r="I479" t="s">
        <v>25</v>
      </c>
    </row>
    <row r="480" spans="1:9" x14ac:dyDescent="0.2">
      <c r="A480" t="s">
        <v>27</v>
      </c>
      <c r="B480">
        <v>2005</v>
      </c>
      <c r="C480">
        <v>0</v>
      </c>
      <c r="D480">
        <f t="shared" si="7"/>
        <v>0</v>
      </c>
      <c r="E480">
        <v>2511251</v>
      </c>
      <c r="F480">
        <v>66.5</v>
      </c>
      <c r="G480" s="1">
        <v>0.9457167387008667</v>
      </c>
      <c r="H480">
        <v>3.7999999523162802</v>
      </c>
      <c r="I480" t="s">
        <v>25</v>
      </c>
    </row>
    <row r="481" spans="1:9" x14ac:dyDescent="0.2">
      <c r="A481" t="s">
        <v>27</v>
      </c>
      <c r="B481">
        <v>2006</v>
      </c>
      <c r="C481">
        <v>0</v>
      </c>
      <c r="D481">
        <f t="shared" si="7"/>
        <v>0</v>
      </c>
      <c r="E481">
        <v>2580758</v>
      </c>
      <c r="F481">
        <v>63.7</v>
      </c>
      <c r="G481" s="1">
        <v>0.84064751863479614</v>
      </c>
      <c r="H481">
        <v>3.9400000572204599</v>
      </c>
      <c r="I481" t="s">
        <v>25</v>
      </c>
    </row>
    <row r="482" spans="1:9" x14ac:dyDescent="0.2">
      <c r="A482" t="s">
        <v>27</v>
      </c>
      <c r="B482">
        <v>2007</v>
      </c>
      <c r="C482">
        <v>0</v>
      </c>
      <c r="D482">
        <f t="shared" si="7"/>
        <v>0</v>
      </c>
      <c r="E482">
        <v>2657158</v>
      </c>
      <c r="F482">
        <v>65.8</v>
      </c>
      <c r="G482" s="1">
        <v>0.93902385234832764</v>
      </c>
      <c r="H482">
        <v>4.0799999237060502</v>
      </c>
      <c r="I482" t="s">
        <v>25</v>
      </c>
    </row>
    <row r="483" spans="1:9" x14ac:dyDescent="0.2">
      <c r="A483" t="s">
        <v>27</v>
      </c>
      <c r="B483">
        <v>2008</v>
      </c>
      <c r="C483">
        <v>0</v>
      </c>
      <c r="D483">
        <f t="shared" si="7"/>
        <v>0</v>
      </c>
      <c r="E483">
        <v>2750963</v>
      </c>
      <c r="F483">
        <v>67.3</v>
      </c>
      <c r="G483" s="1">
        <v>0.9222303032875061</v>
      </c>
      <c r="H483">
        <v>4.1399998664856001</v>
      </c>
      <c r="I483" t="s">
        <v>25</v>
      </c>
    </row>
    <row r="484" spans="1:9" x14ac:dyDescent="0.2">
      <c r="A484" t="s">
        <v>27</v>
      </c>
      <c r="B484">
        <v>2009</v>
      </c>
      <c r="C484">
        <v>0</v>
      </c>
      <c r="D484">
        <f t="shared" si="7"/>
        <v>0</v>
      </c>
      <c r="E484">
        <v>2876186</v>
      </c>
      <c r="F484">
        <v>67</v>
      </c>
      <c r="G484" s="1">
        <v>0.82663530111312866</v>
      </c>
      <c r="H484">
        <v>3.8399999141693102</v>
      </c>
      <c r="I484" t="s">
        <v>25</v>
      </c>
    </row>
    <row r="485" spans="1:9" x14ac:dyDescent="0.2">
      <c r="A485" t="s">
        <v>27</v>
      </c>
      <c r="B485">
        <v>2010</v>
      </c>
      <c r="C485">
        <v>0</v>
      </c>
      <c r="D485">
        <f t="shared" ref="D485:D548" si="8">(C485/E485)*1000</f>
        <v>0</v>
      </c>
      <c r="E485">
        <v>3041434</v>
      </c>
      <c r="F485">
        <v>67.7</v>
      </c>
      <c r="G485" s="1">
        <v>0.59024173021316528</v>
      </c>
      <c r="H485">
        <v>3.71000003814697</v>
      </c>
      <c r="I485" t="s">
        <v>25</v>
      </c>
    </row>
    <row r="486" spans="1:9" x14ac:dyDescent="0.2">
      <c r="A486" t="s">
        <v>27</v>
      </c>
      <c r="B486">
        <v>2011</v>
      </c>
      <c r="C486">
        <v>0</v>
      </c>
      <c r="D486">
        <f t="shared" si="8"/>
        <v>0</v>
      </c>
      <c r="E486">
        <v>3251108</v>
      </c>
      <c r="F486">
        <v>69.8</v>
      </c>
      <c r="G486" s="1">
        <v>0.43244045972824097</v>
      </c>
      <c r="H486">
        <v>3.6400001049041699</v>
      </c>
      <c r="I486" t="s">
        <v>25</v>
      </c>
    </row>
    <row r="487" spans="1:9" x14ac:dyDescent="0.2">
      <c r="A487" t="s">
        <v>27</v>
      </c>
      <c r="B487">
        <v>2012</v>
      </c>
      <c r="C487">
        <v>0</v>
      </c>
      <c r="D487">
        <f t="shared" si="8"/>
        <v>0</v>
      </c>
      <c r="E487">
        <v>3498029</v>
      </c>
      <c r="F487">
        <v>67.900000000000006</v>
      </c>
      <c r="G487" s="1">
        <v>0.46207708120346069</v>
      </c>
      <c r="H487">
        <v>3.5199999809265101</v>
      </c>
      <c r="I487" t="s">
        <v>25</v>
      </c>
    </row>
    <row r="488" spans="1:9" x14ac:dyDescent="0.2">
      <c r="A488" t="s">
        <v>27</v>
      </c>
      <c r="B488">
        <v>2013</v>
      </c>
      <c r="C488">
        <v>0</v>
      </c>
      <c r="D488">
        <f t="shared" si="8"/>
        <v>0</v>
      </c>
      <c r="E488">
        <v>3764805</v>
      </c>
      <c r="F488">
        <v>68.099999999999994</v>
      </c>
      <c r="G488" s="1">
        <v>0.45953020453453064</v>
      </c>
      <c r="H488">
        <v>3.4200000762939502</v>
      </c>
      <c r="I488" t="s">
        <v>25</v>
      </c>
    </row>
    <row r="489" spans="1:9" x14ac:dyDescent="0.2">
      <c r="A489" t="s">
        <v>27</v>
      </c>
      <c r="B489">
        <v>2014</v>
      </c>
      <c r="C489">
        <v>0</v>
      </c>
      <c r="D489">
        <f t="shared" si="8"/>
        <v>0</v>
      </c>
      <c r="E489">
        <v>4027260</v>
      </c>
      <c r="F489">
        <v>67.400000000000006</v>
      </c>
      <c r="G489" s="1">
        <v>0.73490732908248901</v>
      </c>
      <c r="H489">
        <v>3.3699998855590798</v>
      </c>
      <c r="I489" t="s">
        <v>25</v>
      </c>
    </row>
    <row r="490" spans="1:9" x14ac:dyDescent="0.2">
      <c r="A490" t="s">
        <v>27</v>
      </c>
      <c r="B490">
        <v>2015</v>
      </c>
      <c r="C490">
        <v>0</v>
      </c>
      <c r="D490">
        <f t="shared" si="8"/>
        <v>0</v>
      </c>
      <c r="E490">
        <v>4267348</v>
      </c>
      <c r="F490">
        <v>66.7</v>
      </c>
      <c r="G490" s="1">
        <v>0.78333979845046997</v>
      </c>
      <c r="H490">
        <v>3.3199999332428001</v>
      </c>
      <c r="I490" t="s">
        <v>25</v>
      </c>
    </row>
    <row r="491" spans="1:9" x14ac:dyDescent="0.2">
      <c r="A491" t="s">
        <v>27</v>
      </c>
      <c r="B491">
        <v>2016</v>
      </c>
      <c r="C491">
        <v>0</v>
      </c>
      <c r="D491">
        <f t="shared" si="8"/>
        <v>0</v>
      </c>
      <c r="E491">
        <v>4479219</v>
      </c>
      <c r="F491">
        <v>67.099999999999994</v>
      </c>
      <c r="G491" s="1">
        <v>0.76005303859710693</v>
      </c>
      <c r="H491">
        <v>3.2699999809265101</v>
      </c>
      <c r="I491" t="s">
        <v>25</v>
      </c>
    </row>
    <row r="492" spans="1:9" x14ac:dyDescent="0.2">
      <c r="A492" t="s">
        <v>27</v>
      </c>
      <c r="B492">
        <v>2017</v>
      </c>
      <c r="C492">
        <v>0</v>
      </c>
      <c r="D492">
        <f t="shared" si="8"/>
        <v>0</v>
      </c>
      <c r="E492">
        <v>4665935</v>
      </c>
      <c r="F492">
        <v>62.1</v>
      </c>
      <c r="G492" s="1">
        <v>0.7542075514793396</v>
      </c>
      <c r="H492">
        <v>2.4900000095367401</v>
      </c>
      <c r="I492" t="s">
        <v>25</v>
      </c>
    </row>
    <row r="493" spans="1:9" x14ac:dyDescent="0.2">
      <c r="A493" t="s">
        <v>27</v>
      </c>
      <c r="B493">
        <v>2018</v>
      </c>
      <c r="C493">
        <v>0</v>
      </c>
      <c r="D493">
        <f t="shared" si="8"/>
        <v>0</v>
      </c>
      <c r="E493">
        <v>4829483</v>
      </c>
      <c r="F493">
        <v>61</v>
      </c>
      <c r="G493" s="1">
        <v>0.65514987707138062</v>
      </c>
      <c r="H493">
        <v>1.79999995231628</v>
      </c>
      <c r="I493" t="s">
        <v>25</v>
      </c>
    </row>
    <row r="494" spans="1:9" x14ac:dyDescent="0.2">
      <c r="A494" t="s">
        <v>27</v>
      </c>
      <c r="B494">
        <v>2019</v>
      </c>
      <c r="C494">
        <v>0</v>
      </c>
      <c r="D494">
        <f t="shared" si="8"/>
        <v>0</v>
      </c>
      <c r="E494">
        <v>4974986</v>
      </c>
      <c r="F494">
        <v>61</v>
      </c>
      <c r="G494" s="1">
        <v>0.59348475933074951</v>
      </c>
      <c r="H494">
        <v>1.8400000333786</v>
      </c>
      <c r="I494" t="s">
        <v>25</v>
      </c>
    </row>
    <row r="495" spans="1:9" x14ac:dyDescent="0.2">
      <c r="A495" t="s">
        <v>28</v>
      </c>
      <c r="B495">
        <v>1991</v>
      </c>
      <c r="C495">
        <v>0</v>
      </c>
      <c r="D495">
        <f t="shared" si="8"/>
        <v>0</v>
      </c>
      <c r="E495">
        <v>2266358</v>
      </c>
      <c r="F495" t="s">
        <v>17</v>
      </c>
      <c r="G495" s="4" t="s">
        <v>17</v>
      </c>
      <c r="H495">
        <v>6.6500000953674299</v>
      </c>
      <c r="I495" t="s">
        <v>25</v>
      </c>
    </row>
    <row r="496" spans="1:9" x14ac:dyDescent="0.2">
      <c r="A496" t="s">
        <v>28</v>
      </c>
      <c r="B496">
        <v>1992</v>
      </c>
      <c r="C496">
        <v>0</v>
      </c>
      <c r="D496">
        <f t="shared" si="8"/>
        <v>0</v>
      </c>
      <c r="E496">
        <v>2257596</v>
      </c>
      <c r="F496" t="s">
        <v>17</v>
      </c>
      <c r="G496" s="4" t="s">
        <v>17</v>
      </c>
      <c r="H496">
        <v>6.7199997901916504</v>
      </c>
      <c r="I496" t="s">
        <v>25</v>
      </c>
    </row>
    <row r="497" spans="1:9" x14ac:dyDescent="0.2">
      <c r="A497" t="s">
        <v>28</v>
      </c>
      <c r="B497">
        <v>1993</v>
      </c>
      <c r="C497">
        <v>0</v>
      </c>
      <c r="D497">
        <f t="shared" si="8"/>
        <v>0</v>
      </c>
      <c r="E497">
        <v>2238626</v>
      </c>
      <c r="F497" t="s">
        <v>17</v>
      </c>
      <c r="G497" s="4" t="s">
        <v>17</v>
      </c>
      <c r="H497">
        <v>6.8299999237060502</v>
      </c>
      <c r="I497" t="s">
        <v>25</v>
      </c>
    </row>
    <row r="498" spans="1:9" x14ac:dyDescent="0.2">
      <c r="A498" t="s">
        <v>28</v>
      </c>
      <c r="B498">
        <v>1994</v>
      </c>
      <c r="C498">
        <v>0</v>
      </c>
      <c r="D498">
        <f t="shared" si="8"/>
        <v>0</v>
      </c>
      <c r="E498">
        <v>2218430</v>
      </c>
      <c r="F498" t="s">
        <v>17</v>
      </c>
      <c r="G498" s="4" t="s">
        <v>17</v>
      </c>
      <c r="H498">
        <v>6.8699998855590803</v>
      </c>
      <c r="I498" t="s">
        <v>25</v>
      </c>
    </row>
    <row r="499" spans="1:9" x14ac:dyDescent="0.2">
      <c r="A499" t="s">
        <v>28</v>
      </c>
      <c r="B499">
        <v>1995</v>
      </c>
      <c r="C499">
        <v>0</v>
      </c>
      <c r="D499">
        <f t="shared" si="8"/>
        <v>0</v>
      </c>
      <c r="E499">
        <v>2204222</v>
      </c>
      <c r="F499" t="s">
        <v>17</v>
      </c>
      <c r="G499" s="4" t="s">
        <v>17</v>
      </c>
      <c r="H499">
        <v>6.8699998855590803</v>
      </c>
      <c r="I499" t="s">
        <v>25</v>
      </c>
    </row>
    <row r="500" spans="1:9" x14ac:dyDescent="0.2">
      <c r="A500" t="s">
        <v>28</v>
      </c>
      <c r="B500">
        <v>1996</v>
      </c>
      <c r="C500">
        <v>0</v>
      </c>
      <c r="D500">
        <f t="shared" si="8"/>
        <v>0</v>
      </c>
      <c r="E500">
        <v>2196464</v>
      </c>
      <c r="F500" t="s">
        <v>17</v>
      </c>
      <c r="G500" s="1">
        <v>-0.93592607975006104</v>
      </c>
      <c r="H500">
        <v>6.8699998855590803</v>
      </c>
      <c r="I500" t="s">
        <v>25</v>
      </c>
    </row>
    <row r="501" spans="1:9" x14ac:dyDescent="0.2">
      <c r="A501" t="s">
        <v>28</v>
      </c>
      <c r="B501">
        <v>1997</v>
      </c>
      <c r="C501">
        <v>31</v>
      </c>
      <c r="D501">
        <f t="shared" si="8"/>
        <v>1.4121855210896242E-2</v>
      </c>
      <c r="E501">
        <v>2195179</v>
      </c>
      <c r="F501" t="s">
        <v>17</v>
      </c>
      <c r="G501" s="4" t="s">
        <v>17</v>
      </c>
      <c r="H501">
        <v>6.8600001335143999</v>
      </c>
      <c r="I501" t="s">
        <v>25</v>
      </c>
    </row>
    <row r="502" spans="1:9" x14ac:dyDescent="0.2">
      <c r="A502" t="s">
        <v>28</v>
      </c>
      <c r="B502">
        <v>1998</v>
      </c>
      <c r="C502">
        <v>0</v>
      </c>
      <c r="D502">
        <f t="shared" si="8"/>
        <v>0</v>
      </c>
      <c r="E502">
        <v>2206432</v>
      </c>
      <c r="F502" t="s">
        <v>17</v>
      </c>
      <c r="G502" s="1">
        <v>-0.96923160552978516</v>
      </c>
      <c r="H502">
        <v>6.8600001335143999</v>
      </c>
      <c r="I502" t="s">
        <v>25</v>
      </c>
    </row>
    <row r="503" spans="1:9" x14ac:dyDescent="0.2">
      <c r="A503" t="s">
        <v>28</v>
      </c>
      <c r="B503">
        <v>1999</v>
      </c>
      <c r="C503">
        <v>25</v>
      </c>
      <c r="D503">
        <f t="shared" si="8"/>
        <v>1.1173658769869558E-2</v>
      </c>
      <c r="E503">
        <v>2237405</v>
      </c>
      <c r="F503" t="s">
        <v>17</v>
      </c>
      <c r="G503" s="4" t="s">
        <v>17</v>
      </c>
      <c r="H503">
        <v>6.9000000953674299</v>
      </c>
      <c r="I503" t="s">
        <v>25</v>
      </c>
    </row>
    <row r="504" spans="1:9" x14ac:dyDescent="0.2">
      <c r="A504" t="s">
        <v>28</v>
      </c>
      <c r="B504">
        <v>2000</v>
      </c>
      <c r="C504">
        <v>0</v>
      </c>
      <c r="D504">
        <f t="shared" si="8"/>
        <v>0</v>
      </c>
      <c r="E504">
        <v>2292416</v>
      </c>
      <c r="F504" t="s">
        <v>17</v>
      </c>
      <c r="G504" s="1">
        <v>-0.76923787593841553</v>
      </c>
      <c r="H504">
        <v>6.8699998855590803</v>
      </c>
      <c r="I504" t="s">
        <v>25</v>
      </c>
    </row>
    <row r="505" spans="1:9" x14ac:dyDescent="0.2">
      <c r="A505" t="s">
        <v>28</v>
      </c>
      <c r="B505">
        <v>2001</v>
      </c>
      <c r="C505">
        <v>0</v>
      </c>
      <c r="D505">
        <f t="shared" si="8"/>
        <v>0</v>
      </c>
      <c r="E505">
        <v>2374722</v>
      </c>
      <c r="F505" t="s">
        <v>17</v>
      </c>
      <c r="G505" s="4" t="s">
        <v>17</v>
      </c>
      <c r="H505">
        <v>6.8499999046325701</v>
      </c>
      <c r="I505" t="s">
        <v>25</v>
      </c>
    </row>
    <row r="506" spans="1:9" x14ac:dyDescent="0.2">
      <c r="A506" t="s">
        <v>28</v>
      </c>
      <c r="B506">
        <v>2002</v>
      </c>
      <c r="C506">
        <v>0</v>
      </c>
      <c r="D506">
        <f t="shared" si="8"/>
        <v>0</v>
      </c>
      <c r="E506">
        <v>2481058</v>
      </c>
      <c r="F506" t="s">
        <v>17</v>
      </c>
      <c r="G506" s="1">
        <v>-0.26698437333106995</v>
      </c>
      <c r="H506">
        <v>6.8899998664856001</v>
      </c>
      <c r="I506" t="s">
        <v>25</v>
      </c>
    </row>
    <row r="507" spans="1:9" x14ac:dyDescent="0.2">
      <c r="A507" t="s">
        <v>28</v>
      </c>
      <c r="B507">
        <v>2003</v>
      </c>
      <c r="C507">
        <v>57</v>
      </c>
      <c r="D507">
        <f t="shared" si="8"/>
        <v>2.1914875702285258E-2</v>
      </c>
      <c r="E507">
        <v>2600973</v>
      </c>
      <c r="F507" t="s">
        <v>17</v>
      </c>
      <c r="G507" s="1">
        <v>-0.71940165758132935</v>
      </c>
      <c r="H507">
        <v>6.8899998664856001</v>
      </c>
      <c r="I507" t="s">
        <v>25</v>
      </c>
    </row>
    <row r="508" spans="1:9" x14ac:dyDescent="0.2">
      <c r="A508" t="s">
        <v>28</v>
      </c>
      <c r="B508">
        <v>2004</v>
      </c>
      <c r="C508">
        <v>0</v>
      </c>
      <c r="D508">
        <f t="shared" si="8"/>
        <v>0</v>
      </c>
      <c r="E508">
        <v>2719803</v>
      </c>
      <c r="F508" t="s">
        <v>17</v>
      </c>
      <c r="G508" s="1">
        <v>-0.63919204473495483</v>
      </c>
      <c r="H508">
        <v>6.8400001525878897</v>
      </c>
      <c r="I508" t="s">
        <v>25</v>
      </c>
    </row>
    <row r="509" spans="1:9" x14ac:dyDescent="0.2">
      <c r="A509" t="s">
        <v>28</v>
      </c>
      <c r="B509">
        <v>2005</v>
      </c>
      <c r="C509">
        <v>0</v>
      </c>
      <c r="D509">
        <f t="shared" si="8"/>
        <v>0</v>
      </c>
      <c r="E509">
        <v>2826659</v>
      </c>
      <c r="F509" t="s">
        <v>17</v>
      </c>
      <c r="G509" s="1">
        <v>-0.79526627063751221</v>
      </c>
      <c r="H509">
        <v>6.7600002288818404</v>
      </c>
      <c r="I509" t="s">
        <v>25</v>
      </c>
    </row>
    <row r="510" spans="1:9" x14ac:dyDescent="0.2">
      <c r="A510" t="s">
        <v>28</v>
      </c>
      <c r="B510">
        <v>2006</v>
      </c>
      <c r="C510">
        <v>0</v>
      </c>
      <c r="D510">
        <f t="shared" si="8"/>
        <v>0</v>
      </c>
      <c r="E510">
        <v>2918205</v>
      </c>
      <c r="F510" t="s">
        <v>17</v>
      </c>
      <c r="G510" s="1">
        <v>-0.8999219536781311</v>
      </c>
      <c r="H510">
        <v>6.6199998855590803</v>
      </c>
      <c r="I510" t="s">
        <v>25</v>
      </c>
    </row>
    <row r="511" spans="1:9" x14ac:dyDescent="0.2">
      <c r="A511" t="s">
        <v>28</v>
      </c>
      <c r="B511">
        <v>2007</v>
      </c>
      <c r="C511">
        <v>0</v>
      </c>
      <c r="D511">
        <f t="shared" si="8"/>
        <v>0</v>
      </c>
      <c r="E511">
        <v>2996536</v>
      </c>
      <c r="F511" t="s">
        <v>17</v>
      </c>
      <c r="G511" s="1">
        <v>-1.0477255582809448</v>
      </c>
      <c r="H511">
        <v>6.5</v>
      </c>
      <c r="I511" t="s">
        <v>25</v>
      </c>
    </row>
    <row r="512" spans="1:9" x14ac:dyDescent="0.2">
      <c r="A512" t="s">
        <v>28</v>
      </c>
      <c r="B512">
        <v>2008</v>
      </c>
      <c r="C512">
        <v>0</v>
      </c>
      <c r="D512">
        <f t="shared" si="8"/>
        <v>0</v>
      </c>
      <c r="E512">
        <v>3062779</v>
      </c>
      <c r="F512" t="s">
        <v>17</v>
      </c>
      <c r="G512" s="1">
        <v>-0.71137845516204834</v>
      </c>
      <c r="H512">
        <v>6.4400000572204599</v>
      </c>
      <c r="I512" t="s">
        <v>25</v>
      </c>
    </row>
    <row r="513" spans="1:9" x14ac:dyDescent="0.2">
      <c r="A513" t="s">
        <v>28</v>
      </c>
      <c r="B513">
        <v>2009</v>
      </c>
      <c r="C513">
        <v>0</v>
      </c>
      <c r="D513">
        <f t="shared" si="8"/>
        <v>0</v>
      </c>
      <c r="E513">
        <v>3119920</v>
      </c>
      <c r="F513">
        <v>38.5</v>
      </c>
      <c r="G513" s="1">
        <v>-0.68106621503829956</v>
      </c>
      <c r="H513">
        <v>6.7199997901916504</v>
      </c>
      <c r="I513" t="s">
        <v>25</v>
      </c>
    </row>
    <row r="514" spans="1:9" x14ac:dyDescent="0.2">
      <c r="A514" t="s">
        <v>28</v>
      </c>
      <c r="B514">
        <v>2010</v>
      </c>
      <c r="C514">
        <v>0</v>
      </c>
      <c r="D514">
        <f t="shared" si="8"/>
        <v>0</v>
      </c>
      <c r="E514">
        <v>3170435</v>
      </c>
      <c r="F514">
        <v>35.299999999999997</v>
      </c>
      <c r="G514" s="1">
        <v>-0.87559282779693604</v>
      </c>
      <c r="H514">
        <v>6.7600002288818404</v>
      </c>
      <c r="I514" t="s">
        <v>25</v>
      </c>
    </row>
    <row r="515" spans="1:9" x14ac:dyDescent="0.2">
      <c r="A515" t="s">
        <v>28</v>
      </c>
      <c r="B515">
        <v>2011</v>
      </c>
      <c r="C515">
        <v>0</v>
      </c>
      <c r="D515">
        <f t="shared" si="8"/>
        <v>0</v>
      </c>
      <c r="E515">
        <v>3213972</v>
      </c>
      <c r="F515">
        <v>36.700000000000003</v>
      </c>
      <c r="G515" s="1">
        <v>-0.76640439033508301</v>
      </c>
      <c r="H515">
        <v>6.7600002288818404</v>
      </c>
      <c r="I515" t="s">
        <v>25</v>
      </c>
    </row>
    <row r="516" spans="1:9" x14ac:dyDescent="0.2">
      <c r="A516" t="s">
        <v>28</v>
      </c>
      <c r="B516">
        <v>2012</v>
      </c>
      <c r="C516">
        <v>0</v>
      </c>
      <c r="D516">
        <v>0</v>
      </c>
      <c r="E516" t="s">
        <v>17</v>
      </c>
      <c r="F516">
        <v>36.200000000000003</v>
      </c>
      <c r="G516" s="1">
        <v>-0.70219725370407104</v>
      </c>
      <c r="H516">
        <v>6.7699999809265101</v>
      </c>
      <c r="I516" t="s">
        <v>25</v>
      </c>
    </row>
    <row r="517" spans="1:9" x14ac:dyDescent="0.2">
      <c r="A517" t="s">
        <v>28</v>
      </c>
      <c r="B517">
        <v>2013</v>
      </c>
      <c r="C517">
        <v>0</v>
      </c>
      <c r="D517">
        <v>0</v>
      </c>
      <c r="E517" t="s">
        <v>17</v>
      </c>
      <c r="F517">
        <v>36.299999999999997</v>
      </c>
      <c r="G517" s="1">
        <v>-0.77237212657928467</v>
      </c>
      <c r="H517">
        <v>6.7800002098083496</v>
      </c>
      <c r="I517" t="s">
        <v>25</v>
      </c>
    </row>
    <row r="518" spans="1:9" x14ac:dyDescent="0.2">
      <c r="A518" t="s">
        <v>28</v>
      </c>
      <c r="B518">
        <v>2014</v>
      </c>
      <c r="C518">
        <v>0</v>
      </c>
      <c r="D518">
        <v>0</v>
      </c>
      <c r="E518" t="s">
        <v>17</v>
      </c>
      <c r="F518">
        <v>38.5</v>
      </c>
      <c r="G518" s="1">
        <v>-0.80587261915206909</v>
      </c>
      <c r="H518">
        <v>6.71000003814697</v>
      </c>
      <c r="I518" t="s">
        <v>25</v>
      </c>
    </row>
    <row r="519" spans="1:9" x14ac:dyDescent="0.2">
      <c r="A519" t="s">
        <v>28</v>
      </c>
      <c r="B519">
        <v>2015</v>
      </c>
      <c r="C519">
        <v>0</v>
      </c>
      <c r="D519">
        <v>0</v>
      </c>
      <c r="E519" t="s">
        <v>17</v>
      </c>
      <c r="F519">
        <v>38.9</v>
      </c>
      <c r="G519" s="1">
        <v>-0.87675130367279053</v>
      </c>
      <c r="H519">
        <v>6.6599998474121103</v>
      </c>
      <c r="I519" t="s">
        <v>25</v>
      </c>
    </row>
    <row r="520" spans="1:9" x14ac:dyDescent="0.2">
      <c r="A520" t="s">
        <v>28</v>
      </c>
      <c r="B520">
        <v>2016</v>
      </c>
      <c r="C520">
        <v>0</v>
      </c>
      <c r="D520">
        <v>0</v>
      </c>
      <c r="E520" t="s">
        <v>17</v>
      </c>
      <c r="F520">
        <v>42.7</v>
      </c>
      <c r="G520" s="1">
        <v>-0.65691208839416504</v>
      </c>
      <c r="H520">
        <v>6.5999999046325701</v>
      </c>
      <c r="I520" t="s">
        <v>25</v>
      </c>
    </row>
    <row r="521" spans="1:9" x14ac:dyDescent="0.2">
      <c r="A521" t="s">
        <v>28</v>
      </c>
      <c r="B521">
        <v>2017</v>
      </c>
      <c r="C521">
        <v>0</v>
      </c>
      <c r="D521">
        <v>0</v>
      </c>
      <c r="E521" t="s">
        <v>17</v>
      </c>
      <c r="F521">
        <v>42.2</v>
      </c>
      <c r="G521" s="1">
        <v>-0.72957968711853027</v>
      </c>
      <c r="H521">
        <v>6.5</v>
      </c>
      <c r="I521" t="s">
        <v>25</v>
      </c>
    </row>
    <row r="522" spans="1:9" x14ac:dyDescent="0.2">
      <c r="A522" t="s">
        <v>28</v>
      </c>
      <c r="B522">
        <v>2018</v>
      </c>
      <c r="C522">
        <v>0</v>
      </c>
      <c r="D522">
        <v>0</v>
      </c>
      <c r="E522" t="s">
        <v>17</v>
      </c>
      <c r="F522">
        <v>41.7</v>
      </c>
      <c r="G522" s="1">
        <v>-0.59667694568634033</v>
      </c>
      <c r="H522">
        <v>6.4099998474121103</v>
      </c>
      <c r="I522" t="s">
        <v>25</v>
      </c>
    </row>
    <row r="523" spans="1:9" x14ac:dyDescent="0.2">
      <c r="A523" t="s">
        <v>28</v>
      </c>
      <c r="B523">
        <v>2019</v>
      </c>
      <c r="C523">
        <v>0</v>
      </c>
      <c r="D523">
        <v>0</v>
      </c>
      <c r="E523" t="s">
        <v>17</v>
      </c>
      <c r="F523">
        <v>38.9</v>
      </c>
      <c r="G523" s="1">
        <v>-0.71954989433288574</v>
      </c>
      <c r="H523">
        <v>6.3400001525878897</v>
      </c>
      <c r="I523" t="s">
        <v>25</v>
      </c>
    </row>
    <row r="524" spans="1:9" x14ac:dyDescent="0.2">
      <c r="A524" t="s">
        <v>29</v>
      </c>
      <c r="B524">
        <v>1991</v>
      </c>
      <c r="C524">
        <v>0</v>
      </c>
      <c r="D524">
        <f t="shared" si="8"/>
        <v>0</v>
      </c>
      <c r="E524">
        <v>26056594</v>
      </c>
      <c r="F524" t="s">
        <v>17</v>
      </c>
      <c r="G524" s="4" t="s">
        <v>17</v>
      </c>
      <c r="H524">
        <v>3.5999999046325701</v>
      </c>
      <c r="I524" t="s">
        <v>25</v>
      </c>
    </row>
    <row r="525" spans="1:9" x14ac:dyDescent="0.2">
      <c r="A525" t="s">
        <v>29</v>
      </c>
      <c r="B525">
        <v>1992</v>
      </c>
      <c r="C525">
        <v>0</v>
      </c>
      <c r="D525">
        <f t="shared" si="8"/>
        <v>0</v>
      </c>
      <c r="E525">
        <v>26961197</v>
      </c>
      <c r="F525" t="s">
        <v>17</v>
      </c>
      <c r="G525" s="4" t="s">
        <v>17</v>
      </c>
      <c r="H525">
        <v>3.5799999237060498</v>
      </c>
      <c r="I525" t="s">
        <v>25</v>
      </c>
    </row>
    <row r="526" spans="1:9" x14ac:dyDescent="0.2">
      <c r="A526" t="s">
        <v>29</v>
      </c>
      <c r="B526">
        <v>1993</v>
      </c>
      <c r="C526">
        <v>0</v>
      </c>
      <c r="D526">
        <f t="shared" si="8"/>
        <v>0</v>
      </c>
      <c r="E526">
        <v>27887203</v>
      </c>
      <c r="F526" t="s">
        <v>17</v>
      </c>
      <c r="G526" s="4" t="s">
        <v>17</v>
      </c>
      <c r="H526">
        <v>3.5899999141693102</v>
      </c>
      <c r="I526" t="s">
        <v>25</v>
      </c>
    </row>
    <row r="527" spans="1:9" x14ac:dyDescent="0.2">
      <c r="A527" t="s">
        <v>29</v>
      </c>
      <c r="B527">
        <v>1994</v>
      </c>
      <c r="C527">
        <v>0</v>
      </c>
      <c r="D527">
        <f t="shared" si="8"/>
        <v>0</v>
      </c>
      <c r="E527">
        <v>28792639</v>
      </c>
      <c r="F527" t="s">
        <v>17</v>
      </c>
      <c r="G527" s="4" t="s">
        <v>17</v>
      </c>
      <c r="H527">
        <v>3.5299999713897701</v>
      </c>
      <c r="I527" t="s">
        <v>25</v>
      </c>
    </row>
    <row r="528" spans="1:9" x14ac:dyDescent="0.2">
      <c r="A528" t="s">
        <v>29</v>
      </c>
      <c r="B528">
        <v>1995</v>
      </c>
      <c r="C528">
        <v>0</v>
      </c>
      <c r="D528">
        <f t="shared" si="8"/>
        <v>0</v>
      </c>
      <c r="E528">
        <v>29649135</v>
      </c>
      <c r="F528">
        <v>57.3</v>
      </c>
      <c r="G528" s="4" t="s">
        <v>17</v>
      </c>
      <c r="H528">
        <v>3.4500000476837198</v>
      </c>
      <c r="I528" t="s">
        <v>25</v>
      </c>
    </row>
    <row r="529" spans="1:9" x14ac:dyDescent="0.2">
      <c r="A529" t="s">
        <v>29</v>
      </c>
      <c r="B529">
        <v>1996</v>
      </c>
      <c r="C529">
        <v>0</v>
      </c>
      <c r="D529">
        <f t="shared" si="8"/>
        <v>0</v>
      </c>
      <c r="E529">
        <v>30444526</v>
      </c>
      <c r="F529">
        <v>57.5</v>
      </c>
      <c r="G529" s="1">
        <v>-0.62412154674530029</v>
      </c>
      <c r="H529">
        <v>3.3800001144409202</v>
      </c>
      <c r="I529" t="s">
        <v>25</v>
      </c>
    </row>
    <row r="530" spans="1:9" x14ac:dyDescent="0.2">
      <c r="A530" t="s">
        <v>29</v>
      </c>
      <c r="B530">
        <v>1997</v>
      </c>
      <c r="C530">
        <v>0</v>
      </c>
      <c r="D530">
        <f t="shared" si="8"/>
        <v>0</v>
      </c>
      <c r="E530">
        <v>31192857</v>
      </c>
      <c r="F530">
        <v>59.3</v>
      </c>
      <c r="G530" s="4" t="s">
        <v>17</v>
      </c>
      <c r="H530">
        <v>3.28999996185303</v>
      </c>
      <c r="I530" t="s">
        <v>25</v>
      </c>
    </row>
    <row r="531" spans="1:9" x14ac:dyDescent="0.2">
      <c r="A531" t="s">
        <v>29</v>
      </c>
      <c r="B531">
        <v>1998</v>
      </c>
      <c r="C531">
        <v>0</v>
      </c>
      <c r="D531">
        <f t="shared" si="8"/>
        <v>0</v>
      </c>
      <c r="E531">
        <v>31924196</v>
      </c>
      <c r="F531">
        <v>59.6</v>
      </c>
      <c r="G531" s="1">
        <v>-0.40561702847480774</v>
      </c>
      <c r="H531">
        <v>3.2200000286102299</v>
      </c>
      <c r="I531" t="s">
        <v>25</v>
      </c>
    </row>
    <row r="532" spans="1:9" x14ac:dyDescent="0.2">
      <c r="A532" t="s">
        <v>29</v>
      </c>
      <c r="B532">
        <v>1999</v>
      </c>
      <c r="C532">
        <v>0</v>
      </c>
      <c r="D532">
        <f t="shared" si="8"/>
        <v>0</v>
      </c>
      <c r="E532">
        <v>32682239</v>
      </c>
      <c r="F532">
        <v>60</v>
      </c>
      <c r="G532" s="4" t="s">
        <v>17</v>
      </c>
      <c r="H532">
        <v>3.1700000762939502</v>
      </c>
      <c r="I532" t="s">
        <v>25</v>
      </c>
    </row>
    <row r="533" spans="1:9" x14ac:dyDescent="0.2">
      <c r="A533" t="s">
        <v>29</v>
      </c>
      <c r="B533">
        <v>2000</v>
      </c>
      <c r="C533">
        <v>0</v>
      </c>
      <c r="D533">
        <f t="shared" si="8"/>
        <v>0</v>
      </c>
      <c r="E533">
        <v>33499180</v>
      </c>
      <c r="F533">
        <v>56</v>
      </c>
      <c r="G533" s="1">
        <v>-0.70222687721252441</v>
      </c>
      <c r="H533">
        <v>3.0799999237060498</v>
      </c>
      <c r="I533" t="s">
        <v>25</v>
      </c>
    </row>
    <row r="534" spans="1:9" x14ac:dyDescent="0.2">
      <c r="A534" t="s">
        <v>29</v>
      </c>
      <c r="B534">
        <v>2001</v>
      </c>
      <c r="C534">
        <v>0</v>
      </c>
      <c r="D534">
        <f t="shared" si="8"/>
        <v>0</v>
      </c>
      <c r="E534">
        <v>34385856</v>
      </c>
      <c r="F534">
        <v>54.9</v>
      </c>
      <c r="G534" s="4" t="s">
        <v>17</v>
      </c>
      <c r="H534">
        <v>2.9900000095367401</v>
      </c>
      <c r="I534" t="s">
        <v>25</v>
      </c>
    </row>
    <row r="535" spans="1:9" x14ac:dyDescent="0.2">
      <c r="A535" t="s">
        <v>29</v>
      </c>
      <c r="B535">
        <v>2002</v>
      </c>
      <c r="C535">
        <v>0</v>
      </c>
      <c r="D535">
        <f t="shared" si="8"/>
        <v>0</v>
      </c>
      <c r="E535">
        <v>35334788</v>
      </c>
      <c r="F535">
        <v>58.3</v>
      </c>
      <c r="G535" s="1">
        <v>-0.25241479277610779</v>
      </c>
      <c r="H535">
        <v>3.1099998950958301</v>
      </c>
      <c r="I535" t="s">
        <v>25</v>
      </c>
    </row>
    <row r="536" spans="1:9" x14ac:dyDescent="0.2">
      <c r="A536" t="s">
        <v>29</v>
      </c>
      <c r="B536">
        <v>2003</v>
      </c>
      <c r="C536">
        <v>0</v>
      </c>
      <c r="D536">
        <f t="shared" si="8"/>
        <v>0</v>
      </c>
      <c r="E536">
        <v>36337782</v>
      </c>
      <c r="F536">
        <v>56.9</v>
      </c>
      <c r="G536" s="1">
        <v>-0.85449570417404175</v>
      </c>
      <c r="H536">
        <v>3.21000003814697</v>
      </c>
      <c r="I536" t="s">
        <v>25</v>
      </c>
    </row>
    <row r="537" spans="1:9" x14ac:dyDescent="0.2">
      <c r="A537" t="s">
        <v>29</v>
      </c>
      <c r="B537">
        <v>2004</v>
      </c>
      <c r="C537">
        <v>0</v>
      </c>
      <c r="D537">
        <f t="shared" si="8"/>
        <v>0</v>
      </c>
      <c r="E537">
        <v>37379767</v>
      </c>
      <c r="F537">
        <v>60.1</v>
      </c>
      <c r="G537" s="1">
        <v>-0.67093324661254883</v>
      </c>
      <c r="H537">
        <v>3.2699999809265101</v>
      </c>
      <c r="I537" t="s">
        <v>25</v>
      </c>
    </row>
    <row r="538" spans="1:9" x14ac:dyDescent="0.2">
      <c r="A538" t="s">
        <v>29</v>
      </c>
      <c r="B538">
        <v>2005</v>
      </c>
      <c r="C538">
        <v>0</v>
      </c>
      <c r="D538">
        <f t="shared" si="8"/>
        <v>0</v>
      </c>
      <c r="E538">
        <v>38450320</v>
      </c>
      <c r="F538">
        <v>56.3</v>
      </c>
      <c r="G538" s="1">
        <v>-0.58291882276535034</v>
      </c>
      <c r="H538">
        <v>3.3099999427795401</v>
      </c>
      <c r="I538" t="s">
        <v>25</v>
      </c>
    </row>
    <row r="539" spans="1:9" x14ac:dyDescent="0.2">
      <c r="A539" t="s">
        <v>29</v>
      </c>
      <c r="B539">
        <v>2006</v>
      </c>
      <c r="C539">
        <v>0</v>
      </c>
      <c r="D539">
        <f t="shared" si="8"/>
        <v>0</v>
      </c>
      <c r="E539">
        <v>39548663</v>
      </c>
      <c r="F539">
        <v>58.5</v>
      </c>
      <c r="G539" s="1">
        <v>-0.3557513952255249</v>
      </c>
      <c r="H539">
        <v>3.2999999523162802</v>
      </c>
      <c r="I539" t="s">
        <v>25</v>
      </c>
    </row>
    <row r="540" spans="1:9" x14ac:dyDescent="0.2">
      <c r="A540" t="s">
        <v>29</v>
      </c>
      <c r="B540">
        <v>2007</v>
      </c>
      <c r="C540">
        <v>0</v>
      </c>
      <c r="D540">
        <f t="shared" si="8"/>
        <v>0</v>
      </c>
      <c r="E540">
        <v>40681414</v>
      </c>
      <c r="F540">
        <v>56.8</v>
      </c>
      <c r="G540" s="1">
        <v>-0.3856436014175415</v>
      </c>
      <c r="H540">
        <v>2.9200000762939502</v>
      </c>
      <c r="I540" t="s">
        <v>25</v>
      </c>
    </row>
    <row r="541" spans="1:9" x14ac:dyDescent="0.2">
      <c r="A541" t="s">
        <v>29</v>
      </c>
      <c r="B541">
        <v>2008</v>
      </c>
      <c r="C541">
        <v>0</v>
      </c>
      <c r="D541">
        <f t="shared" si="8"/>
        <v>0</v>
      </c>
      <c r="E541">
        <v>41853944</v>
      </c>
      <c r="F541">
        <v>56.5</v>
      </c>
      <c r="G541" s="1">
        <v>-0.22803603112697601</v>
      </c>
      <c r="H541">
        <v>2.6099998950958301</v>
      </c>
      <c r="I541" t="s">
        <v>25</v>
      </c>
    </row>
    <row r="542" spans="1:9" x14ac:dyDescent="0.2">
      <c r="A542" t="s">
        <v>29</v>
      </c>
      <c r="B542">
        <v>2009</v>
      </c>
      <c r="C542">
        <v>0</v>
      </c>
      <c r="D542">
        <f t="shared" si="8"/>
        <v>0</v>
      </c>
      <c r="E542">
        <v>43073834</v>
      </c>
      <c r="F542">
        <v>58.3</v>
      </c>
      <c r="G542" s="1">
        <v>8.9149929583072662E-2</v>
      </c>
      <c r="H542">
        <v>2.5</v>
      </c>
      <c r="I542" t="s">
        <v>25</v>
      </c>
    </row>
    <row r="543" spans="1:9" x14ac:dyDescent="0.2">
      <c r="A543" t="s">
        <v>29</v>
      </c>
      <c r="B543">
        <v>2010</v>
      </c>
      <c r="C543">
        <v>0</v>
      </c>
      <c r="D543">
        <f t="shared" si="8"/>
        <v>0</v>
      </c>
      <c r="E543">
        <v>44346525</v>
      </c>
      <c r="F543">
        <v>58.3</v>
      </c>
      <c r="G543" s="1">
        <v>1.4471621252596378E-2</v>
      </c>
      <c r="H543">
        <v>2.9800000190734899</v>
      </c>
      <c r="I543" t="s">
        <v>25</v>
      </c>
    </row>
    <row r="544" spans="1:9" x14ac:dyDescent="0.2">
      <c r="A544" t="s">
        <v>29</v>
      </c>
      <c r="B544">
        <v>2011</v>
      </c>
      <c r="C544">
        <v>0</v>
      </c>
      <c r="D544">
        <f t="shared" si="8"/>
        <v>0</v>
      </c>
      <c r="E544">
        <v>45673338</v>
      </c>
      <c r="F544">
        <v>57</v>
      </c>
      <c r="G544" s="1">
        <v>-2.4133479222655296E-2</v>
      </c>
      <c r="H544">
        <v>3.4700000286102299</v>
      </c>
      <c r="I544" t="s">
        <v>25</v>
      </c>
    </row>
    <row r="545" spans="1:9" x14ac:dyDescent="0.2">
      <c r="A545" t="s">
        <v>29</v>
      </c>
      <c r="B545">
        <v>2012</v>
      </c>
      <c r="C545">
        <v>0</v>
      </c>
      <c r="D545">
        <f t="shared" si="8"/>
        <v>0</v>
      </c>
      <c r="E545">
        <v>47052481</v>
      </c>
      <c r="F545">
        <v>57</v>
      </c>
      <c r="G545" s="1">
        <v>5.1454290747642517E-2</v>
      </c>
      <c r="H545">
        <v>3.1900000572204599</v>
      </c>
      <c r="I545" t="s">
        <v>25</v>
      </c>
    </row>
    <row r="546" spans="1:9" x14ac:dyDescent="0.2">
      <c r="A546" t="s">
        <v>29</v>
      </c>
      <c r="B546">
        <v>2013</v>
      </c>
      <c r="C546">
        <v>0</v>
      </c>
      <c r="D546">
        <f t="shared" si="8"/>
        <v>0</v>
      </c>
      <c r="E546">
        <v>48482266</v>
      </c>
      <c r="F546">
        <v>57.9</v>
      </c>
      <c r="G546" s="1">
        <v>-0.16212084889411926</v>
      </c>
      <c r="H546">
        <v>2.9300000667571999</v>
      </c>
      <c r="I546" t="s">
        <v>25</v>
      </c>
    </row>
    <row r="547" spans="1:9" x14ac:dyDescent="0.2">
      <c r="A547" t="s">
        <v>29</v>
      </c>
      <c r="B547">
        <v>2014</v>
      </c>
      <c r="C547">
        <v>0</v>
      </c>
      <c r="D547">
        <f t="shared" si="8"/>
        <v>0</v>
      </c>
      <c r="E547">
        <v>49959822</v>
      </c>
      <c r="F547">
        <v>57.8</v>
      </c>
      <c r="G547" s="1">
        <v>-0.5971185564994812</v>
      </c>
      <c r="H547">
        <v>2.1300001144409202</v>
      </c>
      <c r="I547" t="s">
        <v>25</v>
      </c>
    </row>
    <row r="548" spans="1:9" x14ac:dyDescent="0.2">
      <c r="A548" t="s">
        <v>29</v>
      </c>
      <c r="B548">
        <v>2015</v>
      </c>
      <c r="C548">
        <v>0</v>
      </c>
      <c r="D548">
        <f t="shared" si="8"/>
        <v>0</v>
      </c>
      <c r="E548">
        <v>51482633</v>
      </c>
      <c r="F548">
        <v>57.5</v>
      </c>
      <c r="G548" s="1">
        <v>-0.41619434952735901</v>
      </c>
      <c r="H548">
        <v>2.0999999046325701</v>
      </c>
      <c r="I548" t="s">
        <v>25</v>
      </c>
    </row>
    <row r="549" spans="1:9" x14ac:dyDescent="0.2">
      <c r="A549" t="s">
        <v>29</v>
      </c>
      <c r="B549">
        <v>2016</v>
      </c>
      <c r="C549">
        <v>0</v>
      </c>
      <c r="D549">
        <f t="shared" ref="D549:D581" si="9">(C549/E549)*1000</f>
        <v>0</v>
      </c>
      <c r="E549">
        <v>53050790</v>
      </c>
      <c r="F549">
        <v>58.5</v>
      </c>
      <c r="G549" s="1">
        <v>-0.44099476933479309</v>
      </c>
      <c r="H549">
        <v>2.0799999237060498</v>
      </c>
      <c r="I549" t="s">
        <v>25</v>
      </c>
    </row>
    <row r="550" spans="1:9" x14ac:dyDescent="0.2">
      <c r="A550" t="s">
        <v>29</v>
      </c>
      <c r="B550">
        <v>2017</v>
      </c>
      <c r="C550">
        <v>0</v>
      </c>
      <c r="D550">
        <f t="shared" si="9"/>
        <v>0</v>
      </c>
      <c r="E550">
        <v>54663906</v>
      </c>
      <c r="F550">
        <v>58.6</v>
      </c>
      <c r="G550" s="1">
        <v>-0.5618630051612854</v>
      </c>
      <c r="H550">
        <v>2.0299999713897701</v>
      </c>
      <c r="I550" t="s">
        <v>25</v>
      </c>
    </row>
    <row r="551" spans="1:9" x14ac:dyDescent="0.2">
      <c r="A551" t="s">
        <v>29</v>
      </c>
      <c r="B551">
        <v>2018</v>
      </c>
      <c r="C551">
        <v>0</v>
      </c>
      <c r="D551">
        <f t="shared" si="9"/>
        <v>0</v>
      </c>
      <c r="E551">
        <v>56318348</v>
      </c>
      <c r="F551">
        <v>59.9</v>
      </c>
      <c r="G551" s="1">
        <v>-0.5617821216583252</v>
      </c>
      <c r="H551">
        <v>1.9900000095367401</v>
      </c>
      <c r="I551" t="s">
        <v>25</v>
      </c>
    </row>
    <row r="552" spans="1:9" x14ac:dyDescent="0.2">
      <c r="A552" t="s">
        <v>29</v>
      </c>
      <c r="B552">
        <v>2019</v>
      </c>
      <c r="C552">
        <v>0</v>
      </c>
      <c r="D552">
        <f t="shared" si="9"/>
        <v>0</v>
      </c>
      <c r="E552">
        <v>58005463</v>
      </c>
      <c r="F552">
        <v>60.2</v>
      </c>
      <c r="G552" s="1">
        <v>-0.36204707622528076</v>
      </c>
      <c r="H552">
        <v>1.96000003814697</v>
      </c>
      <c r="I552" t="s">
        <v>25</v>
      </c>
    </row>
    <row r="553" spans="1:9" x14ac:dyDescent="0.2">
      <c r="A553" t="s">
        <v>30</v>
      </c>
      <c r="B553">
        <v>1991</v>
      </c>
      <c r="C553">
        <v>0</v>
      </c>
      <c r="D553">
        <f t="shared" si="9"/>
        <v>0</v>
      </c>
      <c r="E553">
        <v>24521703</v>
      </c>
      <c r="F553" t="s">
        <v>17</v>
      </c>
      <c r="G553" s="4" t="s">
        <v>17</v>
      </c>
      <c r="H553">
        <v>2.78999996185303</v>
      </c>
      <c r="I553" t="s">
        <v>25</v>
      </c>
    </row>
    <row r="554" spans="1:9" x14ac:dyDescent="0.2">
      <c r="A554" t="s">
        <v>30</v>
      </c>
      <c r="B554">
        <v>1992</v>
      </c>
      <c r="C554">
        <v>0</v>
      </c>
      <c r="D554">
        <f t="shared" si="9"/>
        <v>0</v>
      </c>
      <c r="E554">
        <v>25326078</v>
      </c>
      <c r="F554" t="s">
        <v>17</v>
      </c>
      <c r="G554" s="4" t="s">
        <v>17</v>
      </c>
      <c r="H554">
        <v>2.8299999237060498</v>
      </c>
      <c r="I554" t="s">
        <v>25</v>
      </c>
    </row>
    <row r="555" spans="1:9" x14ac:dyDescent="0.2">
      <c r="A555" t="s">
        <v>30</v>
      </c>
      <c r="B555">
        <v>1993</v>
      </c>
      <c r="C555">
        <v>0</v>
      </c>
      <c r="D555">
        <f t="shared" si="9"/>
        <v>0</v>
      </c>
      <c r="E555">
        <v>26136216</v>
      </c>
      <c r="F555" t="s">
        <v>17</v>
      </c>
      <c r="G555" s="4" t="s">
        <v>17</v>
      </c>
      <c r="H555">
        <v>2.9000000953674299</v>
      </c>
      <c r="I555" t="s">
        <v>25</v>
      </c>
    </row>
    <row r="556" spans="1:9" x14ac:dyDescent="0.2">
      <c r="A556" t="s">
        <v>30</v>
      </c>
      <c r="B556">
        <v>1994</v>
      </c>
      <c r="C556">
        <v>0</v>
      </c>
      <c r="D556">
        <f t="shared" si="9"/>
        <v>0</v>
      </c>
      <c r="E556">
        <v>26950513</v>
      </c>
      <c r="F556" t="s">
        <v>17</v>
      </c>
      <c r="G556" s="4" t="s">
        <v>17</v>
      </c>
      <c r="H556">
        <v>2.9300000667571999</v>
      </c>
      <c r="I556" t="s">
        <v>25</v>
      </c>
    </row>
    <row r="557" spans="1:9" x14ac:dyDescent="0.2">
      <c r="A557" t="s">
        <v>30</v>
      </c>
      <c r="B557">
        <v>1995</v>
      </c>
      <c r="C557">
        <v>0</v>
      </c>
      <c r="D557">
        <f t="shared" si="9"/>
        <v>0</v>
      </c>
      <c r="E557">
        <v>27768296</v>
      </c>
      <c r="F557">
        <v>54.5</v>
      </c>
      <c r="G557" s="4" t="s">
        <v>17</v>
      </c>
      <c r="H557">
        <v>2.9200000762939502</v>
      </c>
      <c r="I557" t="s">
        <v>25</v>
      </c>
    </row>
    <row r="558" spans="1:9" x14ac:dyDescent="0.2">
      <c r="A558" t="s">
        <v>30</v>
      </c>
      <c r="B558">
        <v>1996</v>
      </c>
      <c r="C558">
        <v>0</v>
      </c>
      <c r="D558">
        <f t="shared" si="9"/>
        <v>0</v>
      </c>
      <c r="E558">
        <v>28589451</v>
      </c>
      <c r="F558">
        <v>56.4</v>
      </c>
      <c r="G558" s="1">
        <v>-0.65389949083328247</v>
      </c>
      <c r="H558">
        <v>2.9300000667571999</v>
      </c>
      <c r="I558" t="s">
        <v>25</v>
      </c>
    </row>
    <row r="559" spans="1:9" x14ac:dyDescent="0.2">
      <c r="A559" t="s">
        <v>30</v>
      </c>
      <c r="B559">
        <v>1997</v>
      </c>
      <c r="C559">
        <v>0</v>
      </c>
      <c r="D559">
        <f t="shared" si="9"/>
        <v>0</v>
      </c>
      <c r="E559">
        <v>29415659</v>
      </c>
      <c r="F559">
        <v>60.1</v>
      </c>
      <c r="G559" s="4" t="s">
        <v>17</v>
      </c>
      <c r="H559">
        <v>2.9200000762939502</v>
      </c>
      <c r="I559" t="s">
        <v>25</v>
      </c>
    </row>
    <row r="560" spans="1:9" x14ac:dyDescent="0.2">
      <c r="A560" t="s">
        <v>30</v>
      </c>
      <c r="B560">
        <v>1998</v>
      </c>
      <c r="C560">
        <v>0</v>
      </c>
      <c r="D560">
        <f t="shared" si="9"/>
        <v>0</v>
      </c>
      <c r="E560">
        <v>30250488</v>
      </c>
      <c r="F560">
        <v>58.4</v>
      </c>
      <c r="G560" s="1">
        <v>-0.90479761362075806</v>
      </c>
      <c r="H560">
        <v>2.9200000762939502</v>
      </c>
      <c r="I560" t="s">
        <v>25</v>
      </c>
    </row>
    <row r="561" spans="1:9" x14ac:dyDescent="0.2">
      <c r="A561" t="s">
        <v>30</v>
      </c>
      <c r="B561">
        <v>1999</v>
      </c>
      <c r="C561">
        <v>0</v>
      </c>
      <c r="D561">
        <f t="shared" si="9"/>
        <v>0</v>
      </c>
      <c r="E561">
        <v>31098757</v>
      </c>
      <c r="F561">
        <v>58.2</v>
      </c>
      <c r="G561" s="4" t="s">
        <v>17</v>
      </c>
      <c r="H561">
        <v>2.9500000476837198</v>
      </c>
      <c r="I561" t="s">
        <v>25</v>
      </c>
    </row>
    <row r="562" spans="1:9" x14ac:dyDescent="0.2">
      <c r="A562" t="s">
        <v>30</v>
      </c>
      <c r="B562">
        <v>2000</v>
      </c>
      <c r="C562">
        <v>0</v>
      </c>
      <c r="D562">
        <f t="shared" si="9"/>
        <v>0</v>
      </c>
      <c r="E562">
        <v>31964557</v>
      </c>
      <c r="F562">
        <v>59.7</v>
      </c>
      <c r="G562" s="1">
        <v>-1.0682498216629028</v>
      </c>
      <c r="H562">
        <v>2.9300000667571999</v>
      </c>
      <c r="I562" t="s">
        <v>25</v>
      </c>
    </row>
    <row r="563" spans="1:9" x14ac:dyDescent="0.2">
      <c r="A563" t="s">
        <v>30</v>
      </c>
      <c r="B563">
        <v>2001</v>
      </c>
      <c r="C563">
        <v>0</v>
      </c>
      <c r="D563">
        <f t="shared" si="9"/>
        <v>0</v>
      </c>
      <c r="E563">
        <v>32848564</v>
      </c>
      <c r="F563">
        <v>57.6</v>
      </c>
      <c r="G563" s="4" t="s">
        <v>17</v>
      </c>
      <c r="H563">
        <v>2.9100000858306898</v>
      </c>
      <c r="I563" t="s">
        <v>25</v>
      </c>
    </row>
    <row r="564" spans="1:9" x14ac:dyDescent="0.2">
      <c r="A564" t="s">
        <v>30</v>
      </c>
      <c r="B564">
        <v>2002</v>
      </c>
      <c r="C564">
        <v>0</v>
      </c>
      <c r="D564">
        <f t="shared" si="9"/>
        <v>0</v>
      </c>
      <c r="E564">
        <v>33751739</v>
      </c>
      <c r="F564">
        <v>58.2</v>
      </c>
      <c r="G564" s="1">
        <v>-1.1864707469940186</v>
      </c>
      <c r="H564">
        <v>2.9400000572204599</v>
      </c>
      <c r="I564" t="s">
        <v>25</v>
      </c>
    </row>
    <row r="565" spans="1:9" x14ac:dyDescent="0.2">
      <c r="A565" t="s">
        <v>30</v>
      </c>
      <c r="B565">
        <v>2003</v>
      </c>
      <c r="C565">
        <v>0</v>
      </c>
      <c r="D565">
        <f t="shared" si="9"/>
        <v>0</v>
      </c>
      <c r="E565">
        <v>34678779</v>
      </c>
      <c r="F565">
        <v>58.6</v>
      </c>
      <c r="G565" s="1">
        <v>-1.2628617286682129</v>
      </c>
      <c r="H565">
        <v>2.9400000572204599</v>
      </c>
      <c r="I565" t="s">
        <v>25</v>
      </c>
    </row>
    <row r="566" spans="1:9" x14ac:dyDescent="0.2">
      <c r="A566" t="s">
        <v>30</v>
      </c>
      <c r="B566">
        <v>2004</v>
      </c>
      <c r="C566">
        <v>0</v>
      </c>
      <c r="D566">
        <f t="shared" si="9"/>
        <v>0</v>
      </c>
      <c r="E566">
        <v>35635271</v>
      </c>
      <c r="F566">
        <v>57.7</v>
      </c>
      <c r="G566" s="1">
        <v>-1.0869085788726807</v>
      </c>
      <c r="H566">
        <v>2.9100000858306898</v>
      </c>
      <c r="I566" t="s">
        <v>25</v>
      </c>
    </row>
    <row r="567" spans="1:9" x14ac:dyDescent="0.2">
      <c r="A567" t="s">
        <v>30</v>
      </c>
      <c r="B567">
        <v>2005</v>
      </c>
      <c r="C567">
        <v>0</v>
      </c>
      <c r="D567">
        <f t="shared" si="9"/>
        <v>0</v>
      </c>
      <c r="E567">
        <v>36624895</v>
      </c>
      <c r="F567">
        <v>57.9</v>
      </c>
      <c r="G567" s="1">
        <v>-1.2498277425765991</v>
      </c>
      <c r="H567">
        <v>2.8599998950958301</v>
      </c>
      <c r="I567" t="s">
        <v>25</v>
      </c>
    </row>
    <row r="568" spans="1:9" x14ac:dyDescent="0.2">
      <c r="A568" t="s">
        <v>30</v>
      </c>
      <c r="B568">
        <v>2006</v>
      </c>
      <c r="C568">
        <v>0</v>
      </c>
      <c r="D568">
        <f t="shared" si="9"/>
        <v>0</v>
      </c>
      <c r="E568">
        <v>37649033</v>
      </c>
      <c r="F568">
        <v>59.7</v>
      </c>
      <c r="G568" s="1">
        <v>-1.1251819133758545</v>
      </c>
      <c r="H568">
        <v>2.7699999809265101</v>
      </c>
      <c r="I568" t="s">
        <v>25</v>
      </c>
    </row>
    <row r="569" spans="1:9" x14ac:dyDescent="0.2">
      <c r="A569" t="s">
        <v>30</v>
      </c>
      <c r="B569">
        <v>2007</v>
      </c>
      <c r="C569">
        <v>0</v>
      </c>
      <c r="D569">
        <f t="shared" si="9"/>
        <v>0</v>
      </c>
      <c r="E569">
        <v>38705932</v>
      </c>
      <c r="F569">
        <v>59.6</v>
      </c>
      <c r="G569" s="1">
        <v>-1.3025410175323486</v>
      </c>
      <c r="H569">
        <v>2.6900000572204599</v>
      </c>
      <c r="I569" t="s">
        <v>25</v>
      </c>
    </row>
    <row r="570" spans="1:9" x14ac:dyDescent="0.2">
      <c r="A570" t="s">
        <v>30</v>
      </c>
      <c r="B570">
        <v>2008</v>
      </c>
      <c r="C570">
        <v>0</v>
      </c>
      <c r="D570">
        <f t="shared" si="9"/>
        <v>0</v>
      </c>
      <c r="E570">
        <v>39791981</v>
      </c>
      <c r="F570">
        <v>59.3</v>
      </c>
      <c r="G570" s="1">
        <v>-1.3919410705566406</v>
      </c>
      <c r="H570">
        <v>2.6600000858306898</v>
      </c>
      <c r="I570" t="s">
        <v>25</v>
      </c>
    </row>
    <row r="571" spans="1:9" x14ac:dyDescent="0.2">
      <c r="A571" t="s">
        <v>30</v>
      </c>
      <c r="B571">
        <v>2009</v>
      </c>
      <c r="C571">
        <v>0</v>
      </c>
      <c r="D571">
        <f t="shared" si="9"/>
        <v>0</v>
      </c>
      <c r="E571">
        <v>40901792</v>
      </c>
      <c r="F571">
        <v>58.7</v>
      </c>
      <c r="G571" s="1">
        <v>-1.4254574775695801</v>
      </c>
      <c r="H571">
        <v>2.8299999237060498</v>
      </c>
      <c r="I571" t="s">
        <v>25</v>
      </c>
    </row>
    <row r="572" spans="1:9" x14ac:dyDescent="0.2">
      <c r="A572" t="s">
        <v>30</v>
      </c>
      <c r="B572">
        <v>2010</v>
      </c>
      <c r="C572">
        <v>0</v>
      </c>
      <c r="D572">
        <f t="shared" si="9"/>
        <v>0</v>
      </c>
      <c r="E572">
        <v>42030676</v>
      </c>
      <c r="F572">
        <v>57.5</v>
      </c>
      <c r="G572" s="1">
        <v>-1.1655235290527344</v>
      </c>
      <c r="H572">
        <v>2.8599998950958301</v>
      </c>
      <c r="I572" t="s">
        <v>25</v>
      </c>
    </row>
    <row r="573" spans="1:9" x14ac:dyDescent="0.2">
      <c r="A573" t="s">
        <v>30</v>
      </c>
      <c r="B573">
        <v>2011</v>
      </c>
      <c r="C573">
        <v>0</v>
      </c>
      <c r="D573">
        <f t="shared" si="9"/>
        <v>0</v>
      </c>
      <c r="E573">
        <v>43178257</v>
      </c>
      <c r="F573">
        <v>57.4</v>
      </c>
      <c r="G573" s="1">
        <v>-1.24479079246521</v>
      </c>
      <c r="H573">
        <v>2.8599998950958301</v>
      </c>
      <c r="I573" t="s">
        <v>25</v>
      </c>
    </row>
    <row r="574" spans="1:9" x14ac:dyDescent="0.2">
      <c r="A574" t="s">
        <v>30</v>
      </c>
      <c r="B574">
        <v>2012</v>
      </c>
      <c r="C574">
        <v>0</v>
      </c>
      <c r="D574">
        <f t="shared" si="9"/>
        <v>0</v>
      </c>
      <c r="E574">
        <v>44343410</v>
      </c>
      <c r="F574">
        <v>57.5</v>
      </c>
      <c r="G574" s="1">
        <v>-1.3234412670135498</v>
      </c>
      <c r="H574">
        <v>2.8599998950958301</v>
      </c>
      <c r="I574" t="s">
        <v>25</v>
      </c>
    </row>
    <row r="575" spans="1:9" x14ac:dyDescent="0.2">
      <c r="A575" t="s">
        <v>30</v>
      </c>
      <c r="B575">
        <v>2013</v>
      </c>
      <c r="C575">
        <v>0</v>
      </c>
      <c r="D575">
        <f t="shared" si="9"/>
        <v>0</v>
      </c>
      <c r="E575">
        <v>45519889</v>
      </c>
      <c r="F575">
        <v>55.9</v>
      </c>
      <c r="G575" s="1">
        <v>-1.1669309139251709</v>
      </c>
      <c r="H575">
        <v>2.8699998855590798</v>
      </c>
      <c r="I575" t="s">
        <v>25</v>
      </c>
    </row>
    <row r="576" spans="1:9" x14ac:dyDescent="0.2">
      <c r="A576" t="s">
        <v>30</v>
      </c>
      <c r="B576">
        <v>2014</v>
      </c>
      <c r="C576">
        <v>0</v>
      </c>
      <c r="D576">
        <f t="shared" si="9"/>
        <v>0</v>
      </c>
      <c r="E576">
        <v>46699981</v>
      </c>
      <c r="F576">
        <v>57.1</v>
      </c>
      <c r="G576" s="1">
        <v>-1.2822471857070923</v>
      </c>
      <c r="H576">
        <v>2.8199999332428001</v>
      </c>
      <c r="I576" t="s">
        <v>25</v>
      </c>
    </row>
    <row r="577" spans="1:9" x14ac:dyDescent="0.2">
      <c r="A577" t="s">
        <v>30</v>
      </c>
      <c r="B577">
        <v>2015</v>
      </c>
      <c r="C577">
        <v>42</v>
      </c>
      <c r="D577">
        <f t="shared" si="9"/>
        <v>8.7722346908631081E-4</v>
      </c>
      <c r="E577">
        <v>47878336</v>
      </c>
      <c r="F577">
        <v>55.6</v>
      </c>
      <c r="G577" s="1">
        <v>-1.2444056272506714</v>
      </c>
      <c r="H577">
        <v>2.7999999523162802</v>
      </c>
      <c r="I577" t="s">
        <v>25</v>
      </c>
    </row>
    <row r="578" spans="1:9" x14ac:dyDescent="0.2">
      <c r="A578" t="s">
        <v>30</v>
      </c>
      <c r="B578">
        <v>2016</v>
      </c>
      <c r="C578">
        <v>49</v>
      </c>
      <c r="D578">
        <f t="shared" si="9"/>
        <v>9.9894629513856063E-4</v>
      </c>
      <c r="E578">
        <v>49051686</v>
      </c>
      <c r="F578">
        <v>57.5</v>
      </c>
      <c r="G578" s="1">
        <v>-1.3547910451889038</v>
      </c>
      <c r="H578">
        <v>2.7599999904632599</v>
      </c>
      <c r="I578" t="s">
        <v>25</v>
      </c>
    </row>
    <row r="579" spans="1:9" x14ac:dyDescent="0.2">
      <c r="A579" t="s">
        <v>30</v>
      </c>
      <c r="B579">
        <v>2017</v>
      </c>
      <c r="C579">
        <v>85</v>
      </c>
      <c r="D579">
        <f t="shared" si="9"/>
        <v>1.6925031251074614E-3</v>
      </c>
      <c r="E579">
        <v>50221473</v>
      </c>
      <c r="F579">
        <v>53.5</v>
      </c>
      <c r="G579" s="1">
        <v>-1.1317523717880249</v>
      </c>
      <c r="H579">
        <v>2.6900000572204599</v>
      </c>
      <c r="I579" t="s">
        <v>25</v>
      </c>
    </row>
    <row r="580" spans="1:9" x14ac:dyDescent="0.2">
      <c r="A580" t="s">
        <v>30</v>
      </c>
      <c r="B580">
        <v>2018</v>
      </c>
      <c r="C580">
        <v>69</v>
      </c>
      <c r="D580">
        <f t="shared" si="9"/>
        <v>1.3425950338382593E-3</v>
      </c>
      <c r="E580">
        <v>51393010</v>
      </c>
      <c r="F580">
        <v>54.7</v>
      </c>
      <c r="G580" s="1">
        <v>-1.1740708351135254</v>
      </c>
      <c r="H580">
        <v>2.6400001049041699</v>
      </c>
      <c r="I580" t="s">
        <v>25</v>
      </c>
    </row>
    <row r="581" spans="1:9" x14ac:dyDescent="0.2">
      <c r="A581" t="s">
        <v>30</v>
      </c>
      <c r="B581">
        <v>2019</v>
      </c>
      <c r="C581">
        <v>61</v>
      </c>
      <c r="D581">
        <f t="shared" si="9"/>
        <v>1.160269930522466E-3</v>
      </c>
      <c r="E581">
        <v>52573973</v>
      </c>
      <c r="F581">
        <v>55.1</v>
      </c>
      <c r="G581" s="1">
        <v>-1.1236639022827148</v>
      </c>
      <c r="H581">
        <v>2.5999999046325701</v>
      </c>
      <c r="I5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Molina, Renato</cp:lastModifiedBy>
  <dcterms:created xsi:type="dcterms:W3CDTF">2021-05-24T16:43:05Z</dcterms:created>
  <dcterms:modified xsi:type="dcterms:W3CDTF">2021-06-30T16:49:24Z</dcterms:modified>
</cp:coreProperties>
</file>